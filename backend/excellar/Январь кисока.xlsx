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124226"/>
  <xr:revisionPtr revIDLastSave="0" documentId="13_ncr:1_{9FE72B44-5131-4182-A991-2E4599C448B8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Жами" sheetId="1" r:id="rId1"/>
    <sheet name="Худудлар" sheetId="2" r:id="rId2"/>
    <sheet name="Лист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E35" i="1"/>
  <c r="F35" i="1"/>
  <c r="G35" i="1"/>
  <c r="C35" i="1"/>
  <c r="B35" i="1"/>
  <c r="C34" i="1" l="1"/>
  <c r="B34" i="1"/>
  <c r="C34" i="2"/>
  <c r="C25" i="2"/>
  <c r="C23" i="2"/>
  <c r="C22" i="2"/>
  <c r="C21" i="2"/>
  <c r="C18" i="2"/>
  <c r="C17" i="2"/>
  <c r="B17" i="2"/>
  <c r="C14" i="2"/>
  <c r="C12" i="2"/>
  <c r="C11" i="2"/>
  <c r="P35" i="2"/>
  <c r="C10" i="2"/>
  <c r="C4" i="2"/>
  <c r="C26" i="2"/>
  <c r="C24" i="2"/>
  <c r="C20" i="2"/>
  <c r="C19" i="2"/>
  <c r="C16" i="2"/>
  <c r="T35" i="2"/>
  <c r="C9" i="2"/>
  <c r="C8" i="2"/>
  <c r="Y35" i="2"/>
  <c r="C5" i="2"/>
  <c r="J35" i="2"/>
  <c r="L35" i="2"/>
  <c r="N35" i="2"/>
  <c r="R35" i="2"/>
  <c r="V35" i="2"/>
  <c r="X35" i="2"/>
  <c r="Z35" i="2"/>
  <c r="AB35" i="2"/>
  <c r="AD35" i="2"/>
  <c r="AF35" i="2"/>
  <c r="F35" i="2"/>
  <c r="H35" i="2"/>
  <c r="D35" i="2"/>
  <c r="C27" i="2"/>
  <c r="C28" i="2"/>
  <c r="C29" i="2"/>
  <c r="C30" i="2"/>
  <c r="C31" i="2"/>
  <c r="C32" i="2"/>
  <c r="C33" i="2"/>
  <c r="B5" i="2"/>
  <c r="B6" i="2"/>
  <c r="B7" i="2"/>
  <c r="B8" i="2"/>
  <c r="B9" i="2"/>
  <c r="B10" i="2"/>
  <c r="B12" i="2"/>
  <c r="B14" i="2"/>
  <c r="B15" i="2"/>
  <c r="B16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D34" i="1"/>
  <c r="E34" i="1"/>
  <c r="B4" i="2"/>
  <c r="S35" i="2" l="1"/>
  <c r="B11" i="2"/>
  <c r="K35" i="2"/>
  <c r="U35" i="2"/>
  <c r="AA35" i="2"/>
  <c r="G35" i="2"/>
  <c r="Q35" i="2"/>
  <c r="C15" i="2"/>
  <c r="B13" i="2"/>
  <c r="C13" i="2"/>
  <c r="W35" i="2"/>
  <c r="I35" i="2"/>
  <c r="AG35" i="2"/>
  <c r="M35" i="2"/>
  <c r="C7" i="2"/>
  <c r="AC35" i="2"/>
  <c r="C6" i="2"/>
  <c r="E35" i="2"/>
  <c r="O35" i="2"/>
  <c r="AE35" i="2"/>
  <c r="C20" i="1"/>
  <c r="E20" i="1" s="1"/>
  <c r="B20" i="1"/>
  <c r="D20" i="1" s="1"/>
  <c r="C19" i="1"/>
  <c r="E19" i="1" s="1"/>
  <c r="B19" i="1"/>
  <c r="D19" i="1" s="1"/>
  <c r="B35" i="2" l="1"/>
  <c r="C35" i="2"/>
  <c r="C18" i="1"/>
  <c r="E18" i="1" s="1"/>
  <c r="B18" i="1"/>
  <c r="D18" i="1" s="1"/>
  <c r="C17" i="1" l="1"/>
  <c r="E17" i="1" s="1"/>
  <c r="B17" i="1"/>
  <c r="D17" i="1" s="1"/>
  <c r="C16" i="1"/>
  <c r="E16" i="1" s="1"/>
  <c r="B16" i="1"/>
  <c r="D16" i="1" s="1"/>
  <c r="C15" i="1"/>
  <c r="E15" i="1" s="1"/>
  <c r="B15" i="1"/>
  <c r="D15" i="1" s="1"/>
  <c r="C14" i="1"/>
  <c r="E14" i="1" s="1"/>
  <c r="B14" i="1"/>
  <c r="D14" i="1" s="1"/>
  <c r="C13" i="1" l="1"/>
  <c r="E13" i="1" s="1"/>
  <c r="B13" i="1"/>
  <c r="D13" i="1" s="1"/>
  <c r="C12" i="1"/>
  <c r="E12" i="1" s="1"/>
  <c r="B12" i="1"/>
  <c r="D12" i="1" s="1"/>
  <c r="C11" i="1" l="1"/>
  <c r="E11" i="1" s="1"/>
  <c r="B11" i="1"/>
  <c r="D11" i="1" s="1"/>
  <c r="C10" i="1" l="1"/>
  <c r="E10" i="1" s="1"/>
  <c r="B10" i="1"/>
  <c r="D10" i="1" s="1"/>
  <c r="C9" i="1"/>
  <c r="E9" i="1" s="1"/>
  <c r="B9" i="1"/>
  <c r="D9" i="1" s="1"/>
  <c r="C8" i="1"/>
  <c r="E8" i="1" s="1"/>
  <c r="B8" i="1"/>
  <c r="D8" i="1" s="1"/>
  <c r="C7" i="1" l="1"/>
  <c r="E7" i="1" s="1"/>
  <c r="B7" i="1"/>
  <c r="D7" i="1" s="1"/>
  <c r="C6" i="1" l="1"/>
  <c r="E6" i="1" s="1"/>
  <c r="B6" i="1"/>
  <c r="D6" i="1" s="1"/>
  <c r="C5" i="1"/>
  <c r="E5" i="1" s="1"/>
  <c r="B5" i="1"/>
  <c r="D5" i="1" s="1"/>
  <c r="B31" i="1" l="1"/>
  <c r="D31" i="1" s="1"/>
  <c r="B28" i="1"/>
  <c r="D28" i="1" s="1"/>
  <c r="C27" i="1"/>
  <c r="E27" i="1" s="1"/>
  <c r="B27" i="1"/>
  <c r="D27" i="1" s="1"/>
  <c r="C26" i="1"/>
  <c r="E26" i="1" s="1"/>
  <c r="B26" i="1"/>
  <c r="D26" i="1" s="1"/>
  <c r="C25" i="1"/>
  <c r="E25" i="1" s="1"/>
  <c r="B25" i="1"/>
  <c r="D25" i="1" s="1"/>
  <c r="B21" i="1"/>
  <c r="D21" i="1" s="1"/>
  <c r="B22" i="1"/>
  <c r="D22" i="1" s="1"/>
  <c r="B23" i="1"/>
  <c r="D23" i="1" s="1"/>
  <c r="B24" i="1"/>
  <c r="D24" i="1" s="1"/>
  <c r="B29" i="1"/>
  <c r="D29" i="1" s="1"/>
  <c r="B30" i="1"/>
  <c r="D30" i="1" s="1"/>
  <c r="B32" i="1"/>
  <c r="D32" i="1" s="1"/>
  <c r="B33" i="1"/>
  <c r="D33" i="1" s="1"/>
  <c r="D12" i="3" l="1"/>
  <c r="C31" i="3"/>
  <c r="D3" i="3"/>
  <c r="C24" i="3"/>
  <c r="D13" i="3"/>
  <c r="C33" i="3"/>
  <c r="D17" i="3"/>
  <c r="C37" i="3"/>
  <c r="D9" i="3"/>
  <c r="C29" i="3"/>
  <c r="D8" i="3"/>
  <c r="C28" i="3"/>
  <c r="D16" i="3"/>
  <c r="C36" i="3"/>
  <c r="C32" i="3"/>
  <c r="D6" i="3"/>
  <c r="C26" i="3"/>
  <c r="D14" i="3"/>
  <c r="C34" i="3"/>
  <c r="D15" i="3"/>
  <c r="C35" i="3"/>
  <c r="D7" i="3"/>
  <c r="C24" i="1"/>
  <c r="E24" i="1" s="1"/>
  <c r="C23" i="1"/>
  <c r="E23" i="1" s="1"/>
  <c r="C22" i="1"/>
  <c r="E22" i="1" s="1"/>
  <c r="C21" i="1"/>
  <c r="E21" i="1" s="1"/>
  <c r="C28" i="1"/>
  <c r="E28" i="1" s="1"/>
  <c r="C29" i="1"/>
  <c r="E29" i="1" s="1"/>
  <c r="C30" i="1"/>
  <c r="E30" i="1" s="1"/>
  <c r="C31" i="1"/>
  <c r="E31" i="1" s="1"/>
  <c r="C32" i="1"/>
  <c r="E32" i="1" s="1"/>
  <c r="C33" i="1"/>
  <c r="E33" i="1" s="1"/>
  <c r="B4" i="1" l="1"/>
  <c r="C4" i="1"/>
  <c r="C7" i="3"/>
  <c r="C27" i="3"/>
  <c r="E4" i="1" l="1"/>
  <c r="D4" i="1"/>
  <c r="D27" i="3"/>
  <c r="D34" i="3" l="1"/>
  <c r="C14" i="3"/>
  <c r="D31" i="3" l="1"/>
  <c r="C12" i="3"/>
  <c r="D24" i="3"/>
  <c r="C3" i="3"/>
  <c r="D33" i="3" l="1"/>
  <c r="C13" i="3"/>
  <c r="D10" i="3"/>
  <c r="D30" i="3"/>
  <c r="C10" i="3"/>
  <c r="C30" i="3"/>
  <c r="D11" i="3" l="1"/>
  <c r="D32" i="3"/>
  <c r="C11" i="3"/>
  <c r="D4" i="3"/>
  <c r="D25" i="3"/>
  <c r="C4" i="3"/>
  <c r="C25" i="3"/>
  <c r="D29" i="3"/>
  <c r="C9" i="3"/>
  <c r="D5" i="3"/>
  <c r="D23" i="3"/>
  <c r="C5" i="3"/>
  <c r="C23" i="3"/>
  <c r="D28" i="3"/>
  <c r="C8" i="3"/>
  <c r="D26" i="3"/>
  <c r="C6" i="3"/>
  <c r="D35" i="3"/>
  <c r="C15" i="3"/>
  <c r="D36" i="3"/>
  <c r="C16" i="3"/>
  <c r="D37" i="3"/>
  <c r="C17" i="3"/>
  <c r="D19" i="3" l="1"/>
  <c r="C38" i="3"/>
  <c r="C19" i="3"/>
  <c r="D38" i="3"/>
</calcChain>
</file>

<file path=xl/sharedStrings.xml><?xml version="1.0" encoding="utf-8"?>
<sst xmlns="http://schemas.openxmlformats.org/spreadsheetml/2006/main" count="105" uniqueCount="33">
  <si>
    <t>Кун</t>
  </si>
  <si>
    <t>Жами</t>
  </si>
  <si>
    <t>Онлайн тўлов</t>
  </si>
  <si>
    <t>Сони</t>
  </si>
  <si>
    <t>Сумма</t>
  </si>
  <si>
    <t xml:space="preserve"> Сумма</t>
  </si>
  <si>
    <t>Самарканд</t>
  </si>
  <si>
    <t>Навои</t>
  </si>
  <si>
    <t>Бухоро</t>
  </si>
  <si>
    <t>Нукус</t>
  </si>
  <si>
    <t>Ургенч</t>
  </si>
  <si>
    <t>Хива</t>
  </si>
  <si>
    <t>Карши</t>
  </si>
  <si>
    <t>Термез</t>
  </si>
  <si>
    <t>Кунгрод</t>
  </si>
  <si>
    <t>Андижон</t>
  </si>
  <si>
    <t>Қўқон</t>
  </si>
  <si>
    <t>Марғилон</t>
  </si>
  <si>
    <t>Наманган</t>
  </si>
  <si>
    <t>Терминал тўлов</t>
  </si>
  <si>
    <t>Тошкент Марказий</t>
  </si>
  <si>
    <t>Тошкент Жанубий</t>
  </si>
  <si>
    <t>Худуд</t>
  </si>
  <si>
    <t>Тошкент Шимолий</t>
  </si>
  <si>
    <t>Самарқанд</t>
  </si>
  <si>
    <t>Урганч</t>
  </si>
  <si>
    <t>Қўнғрод</t>
  </si>
  <si>
    <t>Термиз</t>
  </si>
  <si>
    <t>№</t>
  </si>
  <si>
    <t>Жами:</t>
  </si>
  <si>
    <t>Чиптаҳоналардаги киоскалардан сотилган
 чипталар тўғрисида маълумотнома 01.01.2026-31.01.2026. йил.</t>
  </si>
  <si>
    <t>Инфокиоскалардан 1-Январьдан 31-Январь кунига қадар сотилган чипталар
 тўғрисида маълумотнома (худудлар кесимида (сумма))</t>
  </si>
  <si>
    <t xml:space="preserve">Инфокиоскалардан  1-Январьдан 31-Январь кунига қадар сотилган чипталар
 тўғрисида маълумотнома (худудлар кесимида (сотилган чипталар сони))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</si>
</sst>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\ _₽_-;\-* #,##0\ _₽_-;_-* &quot;-&quot;\ _₽_-;_-@_-"/>
    <numFmt numFmtId="165" formatCode="#,##0\ _₽"/>
    <numFmt numFmtId="166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22"/>
      <color theme="1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sz val="18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  <charset val="204"/>
    </font>
    <font>
      <sz val="11"/>
      <color indexed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0" fillId="0" borderId="0"/>
    <xf numFmtId="43" fontId="11" fillId="0" borderId="0" applyFont="0" applyFill="0" applyBorder="0" applyAlignment="0" applyProtection="0"/>
    <xf numFmtId="0" fontId="13" fillId="0" borderId="0"/>
  </cellStyleXfs>
  <cellXfs count="110">
    <xf numFmtId="0" fontId="0" fillId="0" borderId="0" xfId="0"/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4" fontId="2" fillId="0" borderId="12" xfId="0" applyNumberFormat="1" applyFont="1" applyBorder="1" applyAlignment="1">
      <alignment horizontal="center" vertical="center"/>
    </xf>
    <xf numFmtId="165" fontId="4" fillId="0" borderId="6" xfId="0" applyNumberFormat="1" applyFont="1" applyBorder="1" applyAlignment="1">
      <alignment horizontal="center" vertical="center"/>
    </xf>
    <xf numFmtId="165" fontId="4" fillId="0" borderId="18" xfId="0" applyNumberFormat="1" applyFont="1" applyBorder="1" applyAlignment="1">
      <alignment horizontal="center" vertical="center"/>
    </xf>
    <xf numFmtId="164" fontId="6" fillId="0" borderId="18" xfId="0" applyNumberFormat="1" applyFont="1" applyBorder="1" applyAlignment="1">
      <alignment horizontal="center" vertical="center"/>
    </xf>
    <xf numFmtId="164" fontId="6" fillId="0" borderId="19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/>
    </xf>
    <xf numFmtId="164" fontId="6" fillId="0" borderId="14" xfId="0" applyNumberFormat="1" applyFont="1" applyBorder="1" applyAlignment="1">
      <alignment horizontal="center" vertical="center"/>
    </xf>
    <xf numFmtId="165" fontId="4" fillId="0" borderId="19" xfId="0" applyNumberFormat="1" applyFont="1" applyBorder="1" applyAlignment="1">
      <alignment horizontal="center" vertical="center"/>
    </xf>
    <xf numFmtId="165" fontId="4" fillId="0" borderId="7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164" fontId="8" fillId="5" borderId="15" xfId="0" applyNumberFormat="1" applyFont="1" applyFill="1" applyBorder="1" applyAlignment="1">
      <alignment horizontal="center" vertical="center"/>
    </xf>
    <xf numFmtId="166" fontId="6" fillId="0" borderId="7" xfId="2" applyNumberFormat="1" applyFont="1" applyBorder="1" applyAlignment="1">
      <alignment horizontal="center" vertical="center"/>
    </xf>
    <xf numFmtId="164" fontId="0" fillId="0" borderId="0" xfId="0" applyNumberFormat="1"/>
    <xf numFmtId="0" fontId="3" fillId="6" borderId="31" xfId="0" applyFont="1" applyFill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164" fontId="3" fillId="3" borderId="31" xfId="0" applyNumberFormat="1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165" fontId="1" fillId="4" borderId="15" xfId="0" applyNumberFormat="1" applyFont="1" applyFill="1" applyBorder="1" applyAlignment="1">
      <alignment horizontal="center" vertical="center"/>
    </xf>
    <xf numFmtId="165" fontId="1" fillId="4" borderId="16" xfId="0" applyNumberFormat="1" applyFont="1" applyFill="1" applyBorder="1" applyAlignment="1">
      <alignment horizontal="center" vertical="center"/>
    </xf>
    <xf numFmtId="164" fontId="1" fillId="4" borderId="16" xfId="0" applyNumberFormat="1" applyFont="1" applyFill="1" applyBorder="1" applyAlignment="1">
      <alignment horizontal="center" vertical="center"/>
    </xf>
    <xf numFmtId="164" fontId="8" fillId="5" borderId="25" xfId="0" applyNumberFormat="1" applyFont="1" applyFill="1" applyBorder="1" applyAlignment="1">
      <alignment horizontal="center" vertical="center"/>
    </xf>
    <xf numFmtId="164" fontId="12" fillId="0" borderId="34" xfId="0" applyNumberFormat="1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/>
    </xf>
    <xf numFmtId="0" fontId="1" fillId="3" borderId="25" xfId="0" applyFont="1" applyFill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164" fontId="1" fillId="3" borderId="18" xfId="0" applyNumberFormat="1" applyFont="1" applyFill="1" applyBorder="1" applyAlignment="1">
      <alignment horizontal="center" vertical="center"/>
    </xf>
    <xf numFmtId="164" fontId="1" fillId="3" borderId="3" xfId="0" applyNumberFormat="1" applyFont="1" applyFill="1" applyBorder="1" applyAlignment="1">
      <alignment horizontal="center" vertical="center"/>
    </xf>
    <xf numFmtId="14" fontId="1" fillId="0" borderId="12" xfId="0" applyNumberFormat="1" applyFont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164" fontId="1" fillId="5" borderId="31" xfId="0" applyNumberFormat="1" applyFont="1" applyFill="1" applyBorder="1" applyAlignment="1">
      <alignment horizontal="center" vertical="center"/>
    </xf>
    <xf numFmtId="164" fontId="1" fillId="5" borderId="31" xfId="0" applyNumberFormat="1" applyFont="1" applyFill="1" applyBorder="1" applyAlignment="1">
      <alignment horizontal="center"/>
    </xf>
    <xf numFmtId="0" fontId="1" fillId="5" borderId="31" xfId="0" applyFont="1" applyFill="1" applyBorder="1" applyAlignment="1">
      <alignment vertical="center"/>
    </xf>
    <xf numFmtId="0" fontId="1" fillId="5" borderId="31" xfId="0" applyFont="1" applyFill="1" applyBorder="1" applyAlignment="1"/>
    <xf numFmtId="0" fontId="3" fillId="6" borderId="35" xfId="0" applyFont="1" applyFill="1" applyBorder="1" applyAlignment="1">
      <alignment horizontal="center" vertical="center"/>
    </xf>
    <xf numFmtId="0" fontId="8" fillId="5" borderId="15" xfId="0" applyFont="1" applyFill="1" applyBorder="1" applyAlignment="1">
      <alignment horizontal="center" vertical="center"/>
    </xf>
    <xf numFmtId="164" fontId="6" fillId="0" borderId="36" xfId="0" applyNumberFormat="1" applyFont="1" applyBorder="1" applyAlignment="1">
      <alignment horizontal="center" vertical="center"/>
    </xf>
    <xf numFmtId="164" fontId="6" fillId="0" borderId="37" xfId="0" applyNumberFormat="1" applyFont="1" applyBorder="1" applyAlignment="1">
      <alignment horizontal="center" vertical="center"/>
    </xf>
    <xf numFmtId="164" fontId="2" fillId="3" borderId="31" xfId="0" applyNumberFormat="1" applyFont="1" applyFill="1" applyBorder="1" applyAlignment="1">
      <alignment horizontal="center" vertical="center"/>
    </xf>
    <xf numFmtId="165" fontId="5" fillId="0" borderId="31" xfId="0" applyNumberFormat="1" applyFont="1" applyBorder="1" applyAlignment="1">
      <alignment horizontal="center" vertical="center"/>
    </xf>
    <xf numFmtId="164" fontId="6" fillId="0" borderId="38" xfId="0" applyNumberFormat="1" applyFont="1" applyBorder="1" applyAlignment="1">
      <alignment horizontal="center" vertical="center"/>
    </xf>
    <xf numFmtId="164" fontId="8" fillId="5" borderId="16" xfId="0" applyNumberFormat="1" applyFont="1" applyFill="1" applyBorder="1" applyAlignment="1">
      <alignment horizontal="center" vertical="center"/>
    </xf>
    <xf numFmtId="0" fontId="1" fillId="4" borderId="39" xfId="0" applyFont="1" applyFill="1" applyBorder="1" applyAlignment="1">
      <alignment horizontal="center" vertical="center"/>
    </xf>
    <xf numFmtId="164" fontId="6" fillId="0" borderId="40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164" fontId="8" fillId="5" borderId="39" xfId="0" applyNumberFormat="1" applyFont="1" applyFill="1" applyBorder="1" applyAlignment="1">
      <alignment horizontal="center" vertical="center"/>
    </xf>
    <xf numFmtId="164" fontId="6" fillId="0" borderId="34" xfId="0" applyNumberFormat="1" applyFont="1" applyBorder="1" applyAlignment="1">
      <alignment horizontal="center" vertical="center"/>
    </xf>
    <xf numFmtId="164" fontId="2" fillId="3" borderId="40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4" fontId="2" fillId="0" borderId="41" xfId="0" applyNumberFormat="1" applyFont="1" applyBorder="1" applyAlignment="1">
      <alignment horizontal="center" vertical="center"/>
    </xf>
    <xf numFmtId="164" fontId="2" fillId="3" borderId="35" xfId="0" applyNumberFormat="1" applyFont="1" applyFill="1" applyBorder="1" applyAlignment="1">
      <alignment horizontal="center" vertical="center"/>
    </xf>
    <xf numFmtId="164" fontId="2" fillId="3" borderId="43" xfId="0" applyNumberFormat="1" applyFont="1" applyFill="1" applyBorder="1" applyAlignment="1">
      <alignment horizontal="center" vertical="center"/>
    </xf>
    <xf numFmtId="165" fontId="4" fillId="0" borderId="36" xfId="0" applyNumberFormat="1" applyFont="1" applyBorder="1" applyAlignment="1">
      <alignment horizontal="center" vertical="center"/>
    </xf>
    <xf numFmtId="165" fontId="4" fillId="0" borderId="38" xfId="0" applyNumberFormat="1" applyFont="1" applyBorder="1" applyAlignment="1">
      <alignment horizontal="center" vertical="center"/>
    </xf>
    <xf numFmtId="165" fontId="5" fillId="0" borderId="43" xfId="0" applyNumberFormat="1" applyFont="1" applyBorder="1" applyAlignment="1">
      <alignment horizontal="center" vertical="center"/>
    </xf>
    <xf numFmtId="14" fontId="3" fillId="5" borderId="42" xfId="0" applyNumberFormat="1" applyFont="1" applyFill="1" applyBorder="1" applyAlignment="1">
      <alignment horizontal="center" vertical="center"/>
    </xf>
    <xf numFmtId="164" fontId="3" fillId="5" borderId="39" xfId="0" applyNumberFormat="1" applyFont="1" applyFill="1" applyBorder="1" applyAlignment="1">
      <alignment horizontal="center" vertical="center"/>
    </xf>
    <xf numFmtId="164" fontId="3" fillId="5" borderId="16" xfId="0" applyNumberFormat="1" applyFont="1" applyFill="1" applyBorder="1" applyAlignment="1">
      <alignment horizontal="center" vertical="center"/>
    </xf>
    <xf numFmtId="164" fontId="2" fillId="3" borderId="44" xfId="0" applyNumberFormat="1" applyFont="1" applyFill="1" applyBorder="1" applyAlignment="1">
      <alignment horizontal="center" vertical="center"/>
    </xf>
    <xf numFmtId="164" fontId="2" fillId="3" borderId="45" xfId="0" applyNumberFormat="1" applyFont="1" applyFill="1" applyBorder="1" applyAlignment="1">
      <alignment horizontal="center" vertical="center"/>
    </xf>
    <xf numFmtId="165" fontId="4" fillId="0" borderId="23" xfId="0" applyNumberFormat="1" applyFont="1" applyBorder="1" applyAlignment="1">
      <alignment horizontal="center" vertical="center"/>
    </xf>
    <xf numFmtId="165" fontId="4" fillId="0" borderId="2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8" fillId="0" borderId="15" xfId="0" applyFont="1" applyFill="1" applyBorder="1" applyAlignment="1">
      <alignment horizontal="center" vertical="center" wrapText="1"/>
    </xf>
    <xf numFmtId="0" fontId="8" fillId="0" borderId="17" xfId="0" applyFont="1" applyFill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23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/>
    </xf>
    <xf numFmtId="0" fontId="1" fillId="4" borderId="28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7" fillId="4" borderId="17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65" fontId="1" fillId="4" borderId="27" xfId="0" applyNumberFormat="1" applyFont="1" applyFill="1" applyBorder="1" applyAlignment="1">
      <alignment horizontal="center" vertical="center"/>
    </xf>
    <xf numFmtId="165" fontId="1" fillId="4" borderId="28" xfId="0" applyNumberFormat="1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3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 wrapText="1"/>
    </xf>
    <xf numFmtId="0" fontId="3" fillId="3" borderId="3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 xr:uid="{00000000-0005-0000-0000-000001000000}"/>
    <cellStyle name="Обычный 3" xfId="3" xr:uid="{F787AE7E-DE4A-46A6-8B15-AB726B2D80F2}"/>
    <cellStyle name="Финансовый" xfId="2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zoomScale="85" zoomScaleNormal="85" workbookViewId="0">
      <selection activeCell="I32" sqref="I32"/>
    </sheetView>
  </sheetViews>
  <sheetFormatPr defaultRowHeight="15" x14ac:dyDescent="0.25"/>
  <cols>
    <col min="1" max="1" width="11.85546875" customWidth="1"/>
    <col min="2" max="2" width="11.5703125" bestFit="1" customWidth="1"/>
    <col min="3" max="3" width="22" bestFit="1" customWidth="1"/>
    <col min="4" max="4" width="11.5703125" bestFit="1" customWidth="1"/>
    <col min="5" max="5" width="18" bestFit="1" customWidth="1"/>
    <col min="6" max="6" width="11.5703125" bestFit="1" customWidth="1"/>
    <col min="7" max="7" width="20.140625" bestFit="1" customWidth="1"/>
    <col min="8" max="8" width="14.28515625" bestFit="1" customWidth="1"/>
  </cols>
  <sheetData>
    <row r="1" spans="1:8" ht="60" customHeight="1" thickBot="1" x14ac:dyDescent="0.3">
      <c r="A1" s="81" t="s">
        <v>30</v>
      </c>
      <c r="B1" s="82"/>
      <c r="C1" s="82"/>
      <c r="D1" s="82"/>
      <c r="E1" s="82"/>
      <c r="F1" s="82"/>
      <c r="G1" s="83"/>
    </row>
    <row r="2" spans="1:8" ht="18.75" x14ac:dyDescent="0.25">
      <c r="A2" s="84" t="s">
        <v>0</v>
      </c>
      <c r="B2" s="86" t="s">
        <v>1</v>
      </c>
      <c r="C2" s="87"/>
      <c r="D2" s="86" t="s">
        <v>2</v>
      </c>
      <c r="E2" s="88"/>
      <c r="F2" s="89" t="s">
        <v>19</v>
      </c>
      <c r="G2" s="90"/>
    </row>
    <row r="3" spans="1:8" ht="30.75" customHeight="1" thickBot="1" x14ac:dyDescent="0.3">
      <c r="A3" s="85"/>
      <c r="B3" s="36" t="s">
        <v>3</v>
      </c>
      <c r="C3" s="37" t="s">
        <v>4</v>
      </c>
      <c r="D3" s="36" t="s">
        <v>3</v>
      </c>
      <c r="E3" s="38" t="s">
        <v>4</v>
      </c>
      <c r="F3" s="36" t="s">
        <v>3</v>
      </c>
      <c r="G3" s="39" t="s">
        <v>5</v>
      </c>
    </row>
    <row r="4" spans="1:8" ht="15.75" x14ac:dyDescent="0.25">
      <c r="A4" s="67">
        <v>46023</v>
      </c>
      <c r="B4" s="76">
        <f>Худудлар!B4</f>
        <v>72</v>
      </c>
      <c r="C4" s="77">
        <f>Худудлар!C4</f>
        <v>15030290</v>
      </c>
      <c r="D4" s="78">
        <f>B4-F4</f>
        <v>53</v>
      </c>
      <c r="E4" s="79">
        <f>C4-G4</f>
        <v>11388250</v>
      </c>
      <c r="F4" s="78">
        <v>19</v>
      </c>
      <c r="G4" s="79">
        <v>3642040</v>
      </c>
    </row>
    <row r="5" spans="1:8" ht="16.5" thickBot="1" x14ac:dyDescent="0.3">
      <c r="A5" s="3">
        <v>46024</v>
      </c>
      <c r="B5" s="65">
        <f>Худудлар!B5</f>
        <v>58</v>
      </c>
      <c r="C5" s="16">
        <f>Худудлар!C5</f>
        <v>10455410</v>
      </c>
      <c r="D5" s="5">
        <f t="shared" ref="D5:D34" si="0">B5-F5</f>
        <v>44</v>
      </c>
      <c r="E5" s="12">
        <f t="shared" ref="E5:E34" si="1">C5-G5</f>
        <v>7222600</v>
      </c>
      <c r="F5" s="4">
        <v>14</v>
      </c>
      <c r="G5" s="13">
        <v>3232810</v>
      </c>
      <c r="H5" s="19"/>
    </row>
    <row r="6" spans="1:8" ht="15.75" x14ac:dyDescent="0.25">
      <c r="A6" s="67">
        <v>46025</v>
      </c>
      <c r="B6" s="65">
        <f>Худудлар!B6</f>
        <v>56</v>
      </c>
      <c r="C6" s="16">
        <f>Худудлар!C6</f>
        <v>10876490</v>
      </c>
      <c r="D6" s="5">
        <f t="shared" si="0"/>
        <v>33</v>
      </c>
      <c r="E6" s="12">
        <f t="shared" si="1"/>
        <v>5817730</v>
      </c>
      <c r="F6" s="4">
        <v>23</v>
      </c>
      <c r="G6" s="13">
        <v>5058760</v>
      </c>
      <c r="H6" s="19"/>
    </row>
    <row r="7" spans="1:8" ht="16.5" thickBot="1" x14ac:dyDescent="0.3">
      <c r="A7" s="3">
        <v>46026</v>
      </c>
      <c r="B7" s="65">
        <f>Худудлар!B7</f>
        <v>32</v>
      </c>
      <c r="C7" s="16">
        <f>Худудлар!C7</f>
        <v>7944390</v>
      </c>
      <c r="D7" s="5">
        <f t="shared" si="0"/>
        <v>22</v>
      </c>
      <c r="E7" s="12">
        <f t="shared" si="1"/>
        <v>5680730</v>
      </c>
      <c r="F7" s="4">
        <v>10</v>
      </c>
      <c r="G7" s="35">
        <v>2263660</v>
      </c>
      <c r="H7" s="19"/>
    </row>
    <row r="8" spans="1:8" ht="15.75" x14ac:dyDescent="0.25">
      <c r="A8" s="67">
        <v>46027</v>
      </c>
      <c r="B8" s="65">
        <f>Худудлар!B8</f>
        <v>128</v>
      </c>
      <c r="C8" s="16">
        <f>Худудлар!C8</f>
        <v>29175410</v>
      </c>
      <c r="D8" s="5">
        <f t="shared" si="0"/>
        <v>73</v>
      </c>
      <c r="E8" s="12">
        <f t="shared" si="1"/>
        <v>18556090</v>
      </c>
      <c r="F8" s="4">
        <v>55</v>
      </c>
      <c r="G8" s="13">
        <v>10619320</v>
      </c>
      <c r="H8" s="19"/>
    </row>
    <row r="9" spans="1:8" ht="16.5" thickBot="1" x14ac:dyDescent="0.3">
      <c r="A9" s="3">
        <v>46028</v>
      </c>
      <c r="B9" s="65">
        <f>Худудлар!B9</f>
        <v>100</v>
      </c>
      <c r="C9" s="16">
        <f>Худудлар!C9</f>
        <v>28506970</v>
      </c>
      <c r="D9" s="5">
        <f t="shared" si="0"/>
        <v>55</v>
      </c>
      <c r="E9" s="12">
        <f t="shared" si="1"/>
        <v>18802460</v>
      </c>
      <c r="F9" s="4">
        <v>45</v>
      </c>
      <c r="G9" s="13">
        <v>9704510</v>
      </c>
      <c r="H9" s="19"/>
    </row>
    <row r="10" spans="1:8" ht="15.75" x14ac:dyDescent="0.25">
      <c r="A10" s="67">
        <v>46029</v>
      </c>
      <c r="B10" s="65">
        <f>Худудлар!B10</f>
        <v>94</v>
      </c>
      <c r="C10" s="16">
        <f>Худудлар!C10</f>
        <v>20236280</v>
      </c>
      <c r="D10" s="5">
        <f t="shared" si="0"/>
        <v>72</v>
      </c>
      <c r="E10" s="12">
        <f t="shared" si="1"/>
        <v>15298090</v>
      </c>
      <c r="F10" s="4">
        <v>22</v>
      </c>
      <c r="G10" s="13">
        <v>4938190</v>
      </c>
      <c r="H10" s="19"/>
    </row>
    <row r="11" spans="1:8" ht="16.5" thickBot="1" x14ac:dyDescent="0.3">
      <c r="A11" s="3">
        <v>46030</v>
      </c>
      <c r="B11" s="65">
        <f>Худудлар!B11</f>
        <v>52</v>
      </c>
      <c r="C11" s="16">
        <f>Худудлар!C11</f>
        <v>12277550</v>
      </c>
      <c r="D11" s="5">
        <f t="shared" si="0"/>
        <v>42</v>
      </c>
      <c r="E11" s="12">
        <f t="shared" si="1"/>
        <v>9768480</v>
      </c>
      <c r="F11" s="4">
        <v>10</v>
      </c>
      <c r="G11" s="13">
        <v>2509070</v>
      </c>
    </row>
    <row r="12" spans="1:8" ht="15.75" x14ac:dyDescent="0.25">
      <c r="A12" s="67">
        <v>46031</v>
      </c>
      <c r="B12" s="65">
        <f>Худудлар!B12</f>
        <v>105</v>
      </c>
      <c r="C12" s="16">
        <f>Худудлар!C12</f>
        <v>24903050</v>
      </c>
      <c r="D12" s="5">
        <f t="shared" si="0"/>
        <v>75</v>
      </c>
      <c r="E12" s="12">
        <f t="shared" si="1"/>
        <v>17353320</v>
      </c>
      <c r="F12" s="4">
        <v>30</v>
      </c>
      <c r="G12" s="13">
        <v>7549730</v>
      </c>
    </row>
    <row r="13" spans="1:8" ht="16.5" thickBot="1" x14ac:dyDescent="0.3">
      <c r="A13" s="3">
        <v>46032</v>
      </c>
      <c r="B13" s="65">
        <f>Худудлар!B13</f>
        <v>56</v>
      </c>
      <c r="C13" s="16">
        <f>Худудлар!C13</f>
        <v>10966390</v>
      </c>
      <c r="D13" s="5">
        <f t="shared" si="0"/>
        <v>39</v>
      </c>
      <c r="E13" s="12">
        <f t="shared" si="1"/>
        <v>7536800</v>
      </c>
      <c r="F13" s="4">
        <v>17</v>
      </c>
      <c r="G13" s="13">
        <v>3429590</v>
      </c>
    </row>
    <row r="14" spans="1:8" ht="15.75" x14ac:dyDescent="0.25">
      <c r="A14" s="67">
        <v>46033</v>
      </c>
      <c r="B14" s="65">
        <f>Худудлар!B14</f>
        <v>56</v>
      </c>
      <c r="C14" s="16">
        <f>Худудлар!C14</f>
        <v>16259880</v>
      </c>
      <c r="D14" s="5">
        <f t="shared" si="0"/>
        <v>39</v>
      </c>
      <c r="E14" s="12">
        <f t="shared" si="1"/>
        <v>12110650</v>
      </c>
      <c r="F14" s="4">
        <v>17</v>
      </c>
      <c r="G14" s="13">
        <v>4149230</v>
      </c>
    </row>
    <row r="15" spans="1:8" ht="16.5" thickBot="1" x14ac:dyDescent="0.3">
      <c r="A15" s="3">
        <v>46034</v>
      </c>
      <c r="B15" s="65">
        <f>Худудлар!B15</f>
        <v>38</v>
      </c>
      <c r="C15" s="16">
        <f>Худудлар!C15</f>
        <v>9764880</v>
      </c>
      <c r="D15" s="5">
        <f t="shared" si="0"/>
        <v>15</v>
      </c>
      <c r="E15" s="12">
        <f t="shared" si="1"/>
        <v>4966010</v>
      </c>
      <c r="F15" s="4">
        <v>23</v>
      </c>
      <c r="G15" s="13">
        <v>4798870</v>
      </c>
    </row>
    <row r="16" spans="1:8" ht="15.75" x14ac:dyDescent="0.25">
      <c r="A16" s="67">
        <v>46035</v>
      </c>
      <c r="B16" s="65">
        <f>Худудлар!B16</f>
        <v>62</v>
      </c>
      <c r="C16" s="16">
        <f>Худудлар!C16</f>
        <v>14990680</v>
      </c>
      <c r="D16" s="5">
        <f t="shared" si="0"/>
        <v>26</v>
      </c>
      <c r="E16" s="12">
        <f t="shared" si="1"/>
        <v>8266970</v>
      </c>
      <c r="F16" s="4">
        <v>36</v>
      </c>
      <c r="G16" s="13">
        <v>6723710</v>
      </c>
    </row>
    <row r="17" spans="1:7" ht="16.5" thickBot="1" x14ac:dyDescent="0.3">
      <c r="A17" s="3">
        <v>46036</v>
      </c>
      <c r="B17" s="65">
        <f>Худудлар!B17</f>
        <v>88</v>
      </c>
      <c r="C17" s="16">
        <f>Худудлар!C17</f>
        <v>25001230</v>
      </c>
      <c r="D17" s="5">
        <f t="shared" si="0"/>
        <v>36</v>
      </c>
      <c r="E17" s="12">
        <f t="shared" si="1"/>
        <v>10888520</v>
      </c>
      <c r="F17" s="4">
        <v>52</v>
      </c>
      <c r="G17" s="13">
        <v>14112710</v>
      </c>
    </row>
    <row r="18" spans="1:7" ht="15.75" x14ac:dyDescent="0.25">
      <c r="A18" s="67">
        <v>46037</v>
      </c>
      <c r="B18" s="65">
        <f>Худудлар!B18</f>
        <v>47</v>
      </c>
      <c r="C18" s="16">
        <f>Худудлар!C18</f>
        <v>19142910</v>
      </c>
      <c r="D18" s="5">
        <f t="shared" si="0"/>
        <v>37</v>
      </c>
      <c r="E18" s="12">
        <f t="shared" si="1"/>
        <v>17051930</v>
      </c>
      <c r="F18" s="4">
        <v>10</v>
      </c>
      <c r="G18" s="13">
        <v>2090980</v>
      </c>
    </row>
    <row r="19" spans="1:7" ht="16.5" thickBot="1" x14ac:dyDescent="0.3">
      <c r="A19" s="3">
        <v>46038</v>
      </c>
      <c r="B19" s="65">
        <f>Худудлар!B19</f>
        <v>62</v>
      </c>
      <c r="C19" s="16">
        <f>Худудлар!C19</f>
        <v>20624920</v>
      </c>
      <c r="D19" s="5">
        <f t="shared" si="0"/>
        <v>44</v>
      </c>
      <c r="E19" s="12">
        <f t="shared" si="1"/>
        <v>12446360</v>
      </c>
      <c r="F19" s="4">
        <v>18</v>
      </c>
      <c r="G19" s="13">
        <v>8178560</v>
      </c>
    </row>
    <row r="20" spans="1:7" ht="15.75" x14ac:dyDescent="0.25">
      <c r="A20" s="67">
        <v>46039</v>
      </c>
      <c r="B20" s="65">
        <f>Худудлар!B20</f>
        <v>50</v>
      </c>
      <c r="C20" s="16">
        <f>Худудлар!C20</f>
        <v>14036790</v>
      </c>
      <c r="D20" s="5">
        <f t="shared" si="0"/>
        <v>29</v>
      </c>
      <c r="E20" s="12">
        <f t="shared" si="1"/>
        <v>7446900</v>
      </c>
      <c r="F20" s="4">
        <v>21</v>
      </c>
      <c r="G20" s="13">
        <v>6589890</v>
      </c>
    </row>
    <row r="21" spans="1:7" ht="16.5" thickBot="1" x14ac:dyDescent="0.3">
      <c r="A21" s="3">
        <v>46040</v>
      </c>
      <c r="B21" s="65">
        <f>Худудлар!B21</f>
        <v>34</v>
      </c>
      <c r="C21" s="16">
        <f>Худудлар!C21</f>
        <v>14460600</v>
      </c>
      <c r="D21" s="5">
        <f t="shared" si="0"/>
        <v>18</v>
      </c>
      <c r="E21" s="12">
        <f t="shared" si="1"/>
        <v>10366450</v>
      </c>
      <c r="F21" s="28">
        <v>16</v>
      </c>
      <c r="G21" s="14">
        <v>4094150</v>
      </c>
    </row>
    <row r="22" spans="1:7" ht="15.75" x14ac:dyDescent="0.25">
      <c r="A22" s="67">
        <v>46041</v>
      </c>
      <c r="B22" s="65">
        <f>Худудлар!B22</f>
        <v>104</v>
      </c>
      <c r="C22" s="16">
        <f>Худудлар!C22</f>
        <v>34012800</v>
      </c>
      <c r="D22" s="5">
        <f t="shared" si="0"/>
        <v>51</v>
      </c>
      <c r="E22" s="12">
        <f t="shared" si="1"/>
        <v>18526600</v>
      </c>
      <c r="F22" s="28">
        <v>53</v>
      </c>
      <c r="G22" s="14">
        <v>15486200</v>
      </c>
    </row>
    <row r="23" spans="1:7" ht="16.5" thickBot="1" x14ac:dyDescent="0.3">
      <c r="A23" s="3">
        <v>46042</v>
      </c>
      <c r="B23" s="65">
        <f>Худудлар!B23</f>
        <v>45</v>
      </c>
      <c r="C23" s="16">
        <f>Худудлар!C23</f>
        <v>14174070</v>
      </c>
      <c r="D23" s="5">
        <f t="shared" si="0"/>
        <v>23</v>
      </c>
      <c r="E23" s="12">
        <f t="shared" si="1"/>
        <v>9684510</v>
      </c>
      <c r="F23" s="28">
        <v>22</v>
      </c>
      <c r="G23" s="14">
        <v>4489560</v>
      </c>
    </row>
    <row r="24" spans="1:7" ht="15.75" x14ac:dyDescent="0.25">
      <c r="A24" s="67">
        <v>46043</v>
      </c>
      <c r="B24" s="65">
        <f>Худудлар!B24</f>
        <v>90</v>
      </c>
      <c r="C24" s="16">
        <f>Худудлар!C24</f>
        <v>35965350</v>
      </c>
      <c r="D24" s="5">
        <f t="shared" si="0"/>
        <v>72</v>
      </c>
      <c r="E24" s="12">
        <f t="shared" si="1"/>
        <v>31762530</v>
      </c>
      <c r="F24" s="4">
        <v>18</v>
      </c>
      <c r="G24" s="13">
        <v>4202820</v>
      </c>
    </row>
    <row r="25" spans="1:7" ht="16.5" thickBot="1" x14ac:dyDescent="0.3">
      <c r="A25" s="3">
        <v>46044</v>
      </c>
      <c r="B25" s="65">
        <f>Худудлар!B25</f>
        <v>238</v>
      </c>
      <c r="C25" s="16">
        <f>Худудлар!C25</f>
        <v>52765460</v>
      </c>
      <c r="D25" s="5">
        <f t="shared" si="0"/>
        <v>102</v>
      </c>
      <c r="E25" s="12">
        <f t="shared" si="1"/>
        <v>22842880</v>
      </c>
      <c r="F25" s="4">
        <v>136</v>
      </c>
      <c r="G25" s="13">
        <v>29922580</v>
      </c>
    </row>
    <row r="26" spans="1:7" ht="15.75" x14ac:dyDescent="0.25">
      <c r="A26" s="67">
        <v>46045</v>
      </c>
      <c r="B26" s="65">
        <f>Худудлар!B26</f>
        <v>160</v>
      </c>
      <c r="C26" s="16">
        <f>Худудлар!C26</f>
        <v>41789030</v>
      </c>
      <c r="D26" s="5">
        <f t="shared" si="0"/>
        <v>54</v>
      </c>
      <c r="E26" s="12">
        <f t="shared" si="1"/>
        <v>19738620</v>
      </c>
      <c r="F26" s="4">
        <v>106</v>
      </c>
      <c r="G26" s="13">
        <v>22050410</v>
      </c>
    </row>
    <row r="27" spans="1:7" ht="16.5" thickBot="1" x14ac:dyDescent="0.3">
      <c r="A27" s="3">
        <v>46046</v>
      </c>
      <c r="B27" s="65">
        <f>Худудлар!B27</f>
        <v>71</v>
      </c>
      <c r="C27" s="16">
        <f>Худудлар!C27</f>
        <v>26660850</v>
      </c>
      <c r="D27" s="5">
        <f t="shared" si="0"/>
        <v>34</v>
      </c>
      <c r="E27" s="12">
        <f t="shared" si="1"/>
        <v>12322280</v>
      </c>
      <c r="F27" s="4">
        <v>37</v>
      </c>
      <c r="G27" s="13">
        <v>14338570</v>
      </c>
    </row>
    <row r="28" spans="1:7" ht="15.75" x14ac:dyDescent="0.25">
      <c r="A28" s="67">
        <v>46047</v>
      </c>
      <c r="B28" s="65">
        <f>Худудлар!B28</f>
        <v>47</v>
      </c>
      <c r="C28" s="16">
        <f>Худудлар!C28</f>
        <v>16863470</v>
      </c>
      <c r="D28" s="5">
        <f t="shared" si="0"/>
        <v>23</v>
      </c>
      <c r="E28" s="12">
        <f t="shared" si="1"/>
        <v>10653770</v>
      </c>
      <c r="F28" s="4">
        <v>24</v>
      </c>
      <c r="G28" s="13">
        <v>6209700</v>
      </c>
    </row>
    <row r="29" spans="1:7" ht="16.5" thickBot="1" x14ac:dyDescent="0.3">
      <c r="A29" s="3">
        <v>46048</v>
      </c>
      <c r="B29" s="65">
        <f>Худудлар!B29</f>
        <v>134</v>
      </c>
      <c r="C29" s="16">
        <f>Худудлар!C29</f>
        <v>34012060</v>
      </c>
      <c r="D29" s="5">
        <f t="shared" si="0"/>
        <v>41</v>
      </c>
      <c r="E29" s="12">
        <f t="shared" si="1"/>
        <v>14546330</v>
      </c>
      <c r="F29" s="28">
        <v>93</v>
      </c>
      <c r="G29" s="13">
        <v>19465730</v>
      </c>
    </row>
    <row r="30" spans="1:7" ht="15.75" x14ac:dyDescent="0.25">
      <c r="A30" s="67">
        <v>46049</v>
      </c>
      <c r="B30" s="65">
        <f>Худудлар!B30</f>
        <v>137</v>
      </c>
      <c r="C30" s="16">
        <f>Худудлар!C30</f>
        <v>34930800</v>
      </c>
      <c r="D30" s="5">
        <f t="shared" si="0"/>
        <v>29</v>
      </c>
      <c r="E30" s="12">
        <f t="shared" si="1"/>
        <v>8698520</v>
      </c>
      <c r="F30" s="4">
        <v>108</v>
      </c>
      <c r="G30" s="13">
        <v>26232280</v>
      </c>
    </row>
    <row r="31" spans="1:7" ht="16.5" thickBot="1" x14ac:dyDescent="0.3">
      <c r="A31" s="3">
        <v>46050</v>
      </c>
      <c r="B31" s="65">
        <f>Худудлар!B31</f>
        <v>109</v>
      </c>
      <c r="C31" s="16">
        <f>Худудлар!C31</f>
        <v>29743210</v>
      </c>
      <c r="D31" s="5">
        <f t="shared" si="0"/>
        <v>51</v>
      </c>
      <c r="E31" s="12">
        <f t="shared" si="1"/>
        <v>18060660</v>
      </c>
      <c r="F31" s="28">
        <v>58</v>
      </c>
      <c r="G31" s="13">
        <v>11682550</v>
      </c>
    </row>
    <row r="32" spans="1:7" ht="15.75" x14ac:dyDescent="0.25">
      <c r="A32" s="67">
        <v>46051</v>
      </c>
      <c r="B32" s="65">
        <f>Худудлар!B32</f>
        <v>120</v>
      </c>
      <c r="C32" s="16">
        <f>Худудлар!C32</f>
        <v>32552710</v>
      </c>
      <c r="D32" s="5">
        <f t="shared" si="0"/>
        <v>36</v>
      </c>
      <c r="E32" s="12">
        <f t="shared" si="1"/>
        <v>13692010</v>
      </c>
      <c r="F32" s="28">
        <v>84</v>
      </c>
      <c r="G32" s="13">
        <v>18860700</v>
      </c>
    </row>
    <row r="33" spans="1:8" ht="16.5" thickBot="1" x14ac:dyDescent="0.3">
      <c r="A33" s="3">
        <v>46052</v>
      </c>
      <c r="B33" s="66">
        <f>Худудлар!B33</f>
        <v>108</v>
      </c>
      <c r="C33" s="55">
        <f>Худудлар!C33</f>
        <v>33002220</v>
      </c>
      <c r="D33" s="5">
        <f t="shared" si="0"/>
        <v>32</v>
      </c>
      <c r="E33" s="12">
        <f t="shared" si="1"/>
        <v>13783280</v>
      </c>
      <c r="F33" s="56">
        <v>76</v>
      </c>
      <c r="G33" s="13">
        <v>19218940</v>
      </c>
    </row>
    <row r="34" spans="1:8" ht="16.5" thickBot="1" x14ac:dyDescent="0.3">
      <c r="A34" s="67">
        <v>46053</v>
      </c>
      <c r="B34" s="68">
        <f>Худудлар!B34</f>
        <v>51</v>
      </c>
      <c r="C34" s="69">
        <f>Худудлар!C34</f>
        <v>20202340</v>
      </c>
      <c r="D34" s="70">
        <f t="shared" si="0"/>
        <v>20</v>
      </c>
      <c r="E34" s="71">
        <f t="shared" si="1"/>
        <v>10146550</v>
      </c>
      <c r="F34" s="72">
        <v>31</v>
      </c>
      <c r="G34" s="80">
        <v>10055790</v>
      </c>
    </row>
    <row r="35" spans="1:8" ht="19.5" thickBot="1" x14ac:dyDescent="0.3">
      <c r="A35" s="73" t="s">
        <v>1</v>
      </c>
      <c r="B35" s="74">
        <f>SUM(B4:B34)</f>
        <v>2604</v>
      </c>
      <c r="C35" s="75">
        <f>SUM(C4:C34)</f>
        <v>711328490</v>
      </c>
      <c r="D35" s="74">
        <f t="shared" ref="D35:G35" si="2">SUM(D4:D34)</f>
        <v>1320</v>
      </c>
      <c r="E35" s="75">
        <f t="shared" si="2"/>
        <v>405426880</v>
      </c>
      <c r="F35" s="74">
        <f t="shared" si="2"/>
        <v>1284</v>
      </c>
      <c r="G35" s="75">
        <f t="shared" si="2"/>
        <v>305901610</v>
      </c>
      <c r="H35" s="19"/>
    </row>
  </sheetData>
  <mergeCells count="5">
    <mergeCell ref="A1:G1"/>
    <mergeCell ref="A2:A3"/>
    <mergeCell ref="B2:C2"/>
    <mergeCell ref="D2:E2"/>
    <mergeCell ref="F2:G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7"/>
  <sheetViews>
    <sheetView tabSelected="1" zoomScale="70" zoomScaleNormal="70" workbookViewId="0">
      <selection activeCell="K8" sqref="K8"/>
    </sheetView>
  </sheetViews>
  <sheetFormatPr defaultColWidth="21.85546875" defaultRowHeight="18.75" x14ac:dyDescent="0.25"/>
  <cols>
    <col min="1" max="1" width="18.42578125" style="1" bestFit="1" customWidth="1"/>
    <col min="2" max="2" width="15.28515625" style="1" customWidth="1"/>
    <col min="3" max="3" width="25.7109375" style="1" customWidth="1"/>
    <col min="4" max="4" width="12.42578125" style="1" customWidth="1"/>
    <col min="5" max="5" width="25.7109375" style="1" customWidth="1"/>
    <col min="6" max="6" width="12.42578125" style="1" customWidth="1"/>
    <col min="7" max="7" width="23.85546875" style="1" customWidth="1"/>
    <col min="8" max="8" width="15.28515625" style="1" customWidth="1"/>
    <col min="9" max="9" width="25.7109375" style="1" customWidth="1"/>
    <col min="10" max="10" width="10.5703125" style="1" customWidth="1"/>
    <col min="11" max="11" width="23.85546875" style="1" customWidth="1"/>
    <col min="12" max="12" width="12.42578125" style="1" customWidth="1"/>
    <col min="13" max="13" width="23.85546875" style="1" customWidth="1"/>
    <col min="14" max="14" width="12.42578125" style="1" customWidth="1"/>
    <col min="15" max="15" width="23.85546875" style="1" customWidth="1"/>
    <col min="16" max="16" width="12.42578125" style="1" customWidth="1"/>
    <col min="17" max="17" width="23.85546875" style="1" customWidth="1"/>
    <col min="18" max="18" width="10.5703125" style="1" customWidth="1"/>
    <col min="19" max="19" width="23.85546875" style="1" bestFit="1" customWidth="1"/>
    <col min="20" max="20" width="12.42578125" style="1" customWidth="1"/>
    <col min="21" max="21" width="23.85546875" style="1" customWidth="1"/>
    <col min="22" max="22" width="12.42578125" style="1" customWidth="1"/>
    <col min="23" max="23" width="23.85546875" style="1" customWidth="1"/>
    <col min="24" max="24" width="10.5703125" style="1" bestFit="1" customWidth="1"/>
    <col min="25" max="25" width="21.7109375" style="1" bestFit="1" customWidth="1"/>
    <col min="26" max="26" width="12.42578125" style="1" bestFit="1" customWidth="1"/>
    <col min="27" max="27" width="23.85546875" style="2" bestFit="1" customWidth="1"/>
    <col min="28" max="28" width="12.42578125" style="1" bestFit="1" customWidth="1"/>
    <col min="29" max="29" width="23.85546875" style="1" bestFit="1" customWidth="1"/>
    <col min="30" max="30" width="12.42578125" style="1" bestFit="1" customWidth="1"/>
    <col min="31" max="31" width="25.7109375" style="1" bestFit="1" customWidth="1"/>
    <col min="32" max="32" width="10.5703125" style="1" bestFit="1" customWidth="1"/>
    <col min="33" max="33" width="23.85546875" style="1" bestFit="1" customWidth="1"/>
    <col min="34" max="16384" width="21.85546875" style="1"/>
  </cols>
  <sheetData>
    <row r="1" spans="1:33" ht="81" customHeight="1" thickBot="1" x14ac:dyDescent="0.3">
      <c r="A1" s="100" t="s">
        <v>0</v>
      </c>
      <c r="B1" s="103" t="s">
        <v>1</v>
      </c>
      <c r="C1" s="104"/>
      <c r="D1" s="93" t="s">
        <v>30</v>
      </c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5"/>
    </row>
    <row r="2" spans="1:33" ht="21" thickBot="1" x14ac:dyDescent="0.3">
      <c r="A2" s="101"/>
      <c r="B2" s="105"/>
      <c r="C2" s="106"/>
      <c r="D2" s="91" t="s">
        <v>20</v>
      </c>
      <c r="E2" s="92"/>
      <c r="F2" s="98" t="s">
        <v>21</v>
      </c>
      <c r="G2" s="99"/>
      <c r="H2" s="91" t="s">
        <v>6</v>
      </c>
      <c r="I2" s="92"/>
      <c r="J2" s="91" t="s">
        <v>7</v>
      </c>
      <c r="K2" s="92"/>
      <c r="L2" s="91" t="s">
        <v>8</v>
      </c>
      <c r="M2" s="92"/>
      <c r="N2" s="91" t="s">
        <v>9</v>
      </c>
      <c r="O2" s="92"/>
      <c r="P2" s="91" t="s">
        <v>10</v>
      </c>
      <c r="Q2" s="92"/>
      <c r="R2" s="91" t="s">
        <v>11</v>
      </c>
      <c r="S2" s="92"/>
      <c r="T2" s="91" t="s">
        <v>12</v>
      </c>
      <c r="U2" s="92"/>
      <c r="V2" s="91" t="s">
        <v>13</v>
      </c>
      <c r="W2" s="92"/>
      <c r="X2" s="96" t="s">
        <v>14</v>
      </c>
      <c r="Y2" s="97"/>
      <c r="Z2" s="91" t="s">
        <v>15</v>
      </c>
      <c r="AA2" s="92"/>
      <c r="AB2" s="91" t="s">
        <v>16</v>
      </c>
      <c r="AC2" s="92"/>
      <c r="AD2" s="91" t="s">
        <v>17</v>
      </c>
      <c r="AE2" s="92"/>
      <c r="AF2" s="91" t="s">
        <v>18</v>
      </c>
      <c r="AG2" s="92"/>
    </row>
    <row r="3" spans="1:33" ht="21" thickBot="1" x14ac:dyDescent="0.3">
      <c r="A3" s="102"/>
      <c r="B3" s="40" t="s">
        <v>3</v>
      </c>
      <c r="C3" s="41" t="s">
        <v>4</v>
      </c>
      <c r="D3" s="29" t="s">
        <v>3</v>
      </c>
      <c r="E3" s="30" t="s">
        <v>4</v>
      </c>
      <c r="F3" s="59" t="s">
        <v>3</v>
      </c>
      <c r="G3" s="30" t="s">
        <v>4</v>
      </c>
      <c r="H3" s="29" t="s">
        <v>3</v>
      </c>
      <c r="I3" s="30" t="s">
        <v>4</v>
      </c>
      <c r="J3" s="29" t="s">
        <v>3</v>
      </c>
      <c r="K3" s="30" t="s">
        <v>4</v>
      </c>
      <c r="L3" s="29" t="s">
        <v>3</v>
      </c>
      <c r="M3" s="30" t="s">
        <v>4</v>
      </c>
      <c r="N3" s="29" t="s">
        <v>3</v>
      </c>
      <c r="O3" s="30" t="s">
        <v>4</v>
      </c>
      <c r="P3" s="29" t="s">
        <v>3</v>
      </c>
      <c r="Q3" s="30" t="s">
        <v>4</v>
      </c>
      <c r="R3" s="29" t="s">
        <v>3</v>
      </c>
      <c r="S3" s="30" t="s">
        <v>4</v>
      </c>
      <c r="T3" s="29" t="s">
        <v>3</v>
      </c>
      <c r="U3" s="30" t="s">
        <v>4</v>
      </c>
      <c r="V3" s="29" t="s">
        <v>3</v>
      </c>
      <c r="W3" s="30" t="s">
        <v>4</v>
      </c>
      <c r="X3" s="31" t="s">
        <v>3</v>
      </c>
      <c r="Y3" s="32" t="s">
        <v>4</v>
      </c>
      <c r="Z3" s="31" t="s">
        <v>3</v>
      </c>
      <c r="AA3" s="33" t="s">
        <v>4</v>
      </c>
      <c r="AB3" s="31" t="s">
        <v>3</v>
      </c>
      <c r="AC3" s="32" t="s">
        <v>4</v>
      </c>
      <c r="AD3" s="31" t="s">
        <v>3</v>
      </c>
      <c r="AE3" s="32" t="s">
        <v>4</v>
      </c>
      <c r="AF3" s="31" t="s">
        <v>3</v>
      </c>
      <c r="AG3" s="32" t="s">
        <v>4</v>
      </c>
    </row>
    <row r="4" spans="1:33" ht="20.25" x14ac:dyDescent="0.25">
      <c r="A4" s="42">
        <v>46023</v>
      </c>
      <c r="B4" s="43">
        <f>D4+F4+H4+J4+L4+N4+P4+R4+T4+V4+X4+Z4+AB4+AD4+AF4</f>
        <v>72</v>
      </c>
      <c r="C4" s="44">
        <f>E4+G4+I4+K4+M4+O4+Q4+S4+U4+W4+Y4+AA4+AC4+AE4+AG4</f>
        <v>15030290</v>
      </c>
      <c r="D4" s="6">
        <v>8</v>
      </c>
      <c r="E4" s="7">
        <v>2594480</v>
      </c>
      <c r="F4" s="60">
        <v>10</v>
      </c>
      <c r="G4" s="7">
        <v>1314100</v>
      </c>
      <c r="H4" s="6">
        <v>3</v>
      </c>
      <c r="I4" s="7">
        <v>409710</v>
      </c>
      <c r="J4" s="6">
        <v>3</v>
      </c>
      <c r="K4" s="7">
        <v>306060</v>
      </c>
      <c r="L4" s="6">
        <v>6</v>
      </c>
      <c r="M4" s="7">
        <v>716940</v>
      </c>
      <c r="N4" s="6">
        <v>0</v>
      </c>
      <c r="O4" s="7">
        <v>0</v>
      </c>
      <c r="P4" s="6">
        <v>9</v>
      </c>
      <c r="Q4" s="7">
        <v>1969020</v>
      </c>
      <c r="R4" s="8">
        <v>0</v>
      </c>
      <c r="S4" s="9">
        <v>0</v>
      </c>
      <c r="T4" s="6">
        <v>3</v>
      </c>
      <c r="U4" s="7">
        <v>361670</v>
      </c>
      <c r="V4" s="6">
        <v>1</v>
      </c>
      <c r="W4" s="7">
        <v>216700</v>
      </c>
      <c r="X4" s="6">
        <v>0</v>
      </c>
      <c r="Y4" s="7">
        <v>0</v>
      </c>
      <c r="Z4" s="6">
        <v>7</v>
      </c>
      <c r="AA4" s="7">
        <v>1160320</v>
      </c>
      <c r="AB4" s="6">
        <v>0</v>
      </c>
      <c r="AC4" s="7">
        <v>0</v>
      </c>
      <c r="AD4" s="6">
        <v>18</v>
      </c>
      <c r="AE4" s="7">
        <v>5270570</v>
      </c>
      <c r="AF4" s="6">
        <v>4</v>
      </c>
      <c r="AG4" s="7">
        <v>710720</v>
      </c>
    </row>
    <row r="5" spans="1:33" ht="20.25" x14ac:dyDescent="0.25">
      <c r="A5" s="45">
        <v>46024</v>
      </c>
      <c r="B5" s="43">
        <f t="shared" ref="B5:B34" si="0">D5+F5+H5+J5+L5+N5+P5+R5+T5+V5+X5+Z5+AB5+AD5+AF5</f>
        <v>58</v>
      </c>
      <c r="C5" s="44">
        <f t="shared" ref="C5:C34" si="1">E5+G5+I5+K5+M5+O5+Q5+S5+U5+W5+Y5+AA5+AC5+AE5+AG5</f>
        <v>10455410</v>
      </c>
      <c r="D5" s="8">
        <v>12</v>
      </c>
      <c r="E5" s="9">
        <v>2421360</v>
      </c>
      <c r="F5" s="60">
        <v>7</v>
      </c>
      <c r="G5" s="7">
        <v>1165780</v>
      </c>
      <c r="H5" s="6">
        <v>2</v>
      </c>
      <c r="I5" s="7">
        <v>457220</v>
      </c>
      <c r="J5" s="8">
        <v>8</v>
      </c>
      <c r="K5" s="9">
        <v>992600</v>
      </c>
      <c r="L5" s="6">
        <v>2</v>
      </c>
      <c r="M5" s="7">
        <v>302850</v>
      </c>
      <c r="N5" s="8">
        <v>0</v>
      </c>
      <c r="O5" s="9">
        <v>0</v>
      </c>
      <c r="P5" s="6">
        <v>0</v>
      </c>
      <c r="Q5" s="9">
        <v>0</v>
      </c>
      <c r="R5" s="6">
        <v>0</v>
      </c>
      <c r="S5" s="7">
        <v>0</v>
      </c>
      <c r="T5" s="6">
        <v>7</v>
      </c>
      <c r="U5" s="7">
        <v>731220</v>
      </c>
      <c r="V5" s="6">
        <v>2</v>
      </c>
      <c r="W5" s="7">
        <v>159740</v>
      </c>
      <c r="X5" s="6">
        <v>0</v>
      </c>
      <c r="Y5" s="7">
        <v>0</v>
      </c>
      <c r="Z5" s="8">
        <v>2</v>
      </c>
      <c r="AA5" s="9">
        <v>654270</v>
      </c>
      <c r="AB5" s="8">
        <v>2</v>
      </c>
      <c r="AC5" s="9">
        <v>575100</v>
      </c>
      <c r="AD5" s="8">
        <v>13</v>
      </c>
      <c r="AE5" s="9">
        <v>2930900</v>
      </c>
      <c r="AF5" s="6">
        <v>1</v>
      </c>
      <c r="AG5" s="7">
        <v>64370</v>
      </c>
    </row>
    <row r="6" spans="1:33" ht="20.25" x14ac:dyDescent="0.25">
      <c r="A6" s="42">
        <v>46025</v>
      </c>
      <c r="B6" s="43">
        <f t="shared" si="0"/>
        <v>56</v>
      </c>
      <c r="C6" s="44">
        <f t="shared" si="1"/>
        <v>10876490</v>
      </c>
      <c r="D6" s="8">
        <v>20</v>
      </c>
      <c r="E6" s="9">
        <v>3815870</v>
      </c>
      <c r="F6" s="61">
        <v>4</v>
      </c>
      <c r="G6" s="9">
        <v>862250</v>
      </c>
      <c r="H6" s="8">
        <v>3</v>
      </c>
      <c r="I6" s="9">
        <v>444830</v>
      </c>
      <c r="J6" s="8">
        <v>3</v>
      </c>
      <c r="K6" s="9">
        <v>415810</v>
      </c>
      <c r="L6" s="8">
        <v>4</v>
      </c>
      <c r="M6" s="9">
        <v>707710</v>
      </c>
      <c r="N6" s="8">
        <v>1</v>
      </c>
      <c r="O6" s="18">
        <v>965260</v>
      </c>
      <c r="P6" s="8">
        <v>0</v>
      </c>
      <c r="Q6" s="9">
        <v>0</v>
      </c>
      <c r="R6" s="8">
        <v>3</v>
      </c>
      <c r="S6" s="9">
        <v>395720</v>
      </c>
      <c r="T6" s="8">
        <v>2</v>
      </c>
      <c r="U6" s="9">
        <v>699000</v>
      </c>
      <c r="V6" s="8">
        <v>3</v>
      </c>
      <c r="W6" s="9">
        <v>459180</v>
      </c>
      <c r="X6" s="6">
        <v>0</v>
      </c>
      <c r="Y6" s="7">
        <v>0</v>
      </c>
      <c r="Z6" s="8">
        <v>8</v>
      </c>
      <c r="AA6" s="9">
        <v>1578860</v>
      </c>
      <c r="AB6" s="8">
        <v>0</v>
      </c>
      <c r="AC6" s="9">
        <v>0</v>
      </c>
      <c r="AD6" s="8">
        <v>0</v>
      </c>
      <c r="AE6" s="9">
        <v>0</v>
      </c>
      <c r="AF6" s="8">
        <v>5</v>
      </c>
      <c r="AG6" s="9">
        <v>532000</v>
      </c>
    </row>
    <row r="7" spans="1:33" ht="20.25" x14ac:dyDescent="0.25">
      <c r="A7" s="45">
        <v>46026</v>
      </c>
      <c r="B7" s="43">
        <f t="shared" si="0"/>
        <v>32</v>
      </c>
      <c r="C7" s="44">
        <f t="shared" si="1"/>
        <v>7944390</v>
      </c>
      <c r="D7" s="8">
        <v>0</v>
      </c>
      <c r="E7" s="9">
        <v>0</v>
      </c>
      <c r="F7" s="61">
        <v>1</v>
      </c>
      <c r="G7" s="9">
        <v>71650</v>
      </c>
      <c r="H7" s="8">
        <v>1</v>
      </c>
      <c r="I7" s="9">
        <v>93600</v>
      </c>
      <c r="J7" s="8">
        <v>0</v>
      </c>
      <c r="K7" s="9">
        <v>0</v>
      </c>
      <c r="L7" s="8">
        <v>4</v>
      </c>
      <c r="M7" s="9">
        <v>1074000</v>
      </c>
      <c r="N7" s="8">
        <v>11</v>
      </c>
      <c r="O7" s="7">
        <v>3437170</v>
      </c>
      <c r="P7" s="8">
        <v>5</v>
      </c>
      <c r="Q7" s="9">
        <v>1466460</v>
      </c>
      <c r="R7" s="8">
        <v>0</v>
      </c>
      <c r="S7" s="9">
        <v>0</v>
      </c>
      <c r="T7" s="8">
        <v>0</v>
      </c>
      <c r="U7" s="9">
        <v>0</v>
      </c>
      <c r="V7" s="8">
        <v>3</v>
      </c>
      <c r="W7" s="9">
        <v>203850</v>
      </c>
      <c r="X7" s="6">
        <v>1</v>
      </c>
      <c r="Y7" s="7">
        <v>548140</v>
      </c>
      <c r="Z7" s="8">
        <v>5</v>
      </c>
      <c r="AA7" s="9">
        <v>818490</v>
      </c>
      <c r="AB7" s="8">
        <v>0</v>
      </c>
      <c r="AC7" s="9">
        <v>0</v>
      </c>
      <c r="AD7" s="8">
        <v>1</v>
      </c>
      <c r="AE7" s="9">
        <v>231030</v>
      </c>
      <c r="AF7" s="8">
        <v>0</v>
      </c>
      <c r="AG7" s="9">
        <v>0</v>
      </c>
    </row>
    <row r="8" spans="1:33" ht="20.25" x14ac:dyDescent="0.25">
      <c r="A8" s="42">
        <v>46027</v>
      </c>
      <c r="B8" s="43">
        <f t="shared" si="0"/>
        <v>128</v>
      </c>
      <c r="C8" s="44">
        <f t="shared" si="1"/>
        <v>29175410</v>
      </c>
      <c r="D8" s="8">
        <v>24</v>
      </c>
      <c r="E8" s="7">
        <v>5229820</v>
      </c>
      <c r="F8" s="61">
        <v>3</v>
      </c>
      <c r="G8" s="9">
        <v>423070</v>
      </c>
      <c r="H8" s="8">
        <v>10</v>
      </c>
      <c r="I8" s="9">
        <v>2610420</v>
      </c>
      <c r="J8" s="8">
        <v>2</v>
      </c>
      <c r="K8" s="9">
        <v>330160</v>
      </c>
      <c r="L8" s="8">
        <v>9</v>
      </c>
      <c r="M8" s="9">
        <v>2775790</v>
      </c>
      <c r="N8" s="8">
        <v>3</v>
      </c>
      <c r="O8" s="9">
        <v>618500</v>
      </c>
      <c r="P8" s="8"/>
      <c r="Q8" s="9"/>
      <c r="R8" s="8">
        <v>0</v>
      </c>
      <c r="S8" s="9">
        <v>0</v>
      </c>
      <c r="T8" s="8">
        <v>15</v>
      </c>
      <c r="U8" s="9">
        <v>1418210</v>
      </c>
      <c r="V8" s="8">
        <v>10</v>
      </c>
      <c r="W8" s="9">
        <v>1744200</v>
      </c>
      <c r="X8" s="8">
        <v>0</v>
      </c>
      <c r="Y8" s="9">
        <v>0</v>
      </c>
      <c r="Z8" s="8">
        <v>20</v>
      </c>
      <c r="AA8" s="9">
        <v>3673310</v>
      </c>
      <c r="AB8" s="8">
        <v>1</v>
      </c>
      <c r="AC8" s="9">
        <v>216700</v>
      </c>
      <c r="AD8" s="8">
        <v>26</v>
      </c>
      <c r="AE8" s="9">
        <v>9663040</v>
      </c>
      <c r="AF8" s="8">
        <v>5</v>
      </c>
      <c r="AG8" s="9">
        <v>472190</v>
      </c>
    </row>
    <row r="9" spans="1:33" ht="20.25" x14ac:dyDescent="0.25">
      <c r="A9" s="45">
        <v>46028</v>
      </c>
      <c r="B9" s="43">
        <f t="shared" si="0"/>
        <v>100</v>
      </c>
      <c r="C9" s="44">
        <f t="shared" si="1"/>
        <v>28506970</v>
      </c>
      <c r="D9" s="8">
        <v>14</v>
      </c>
      <c r="E9" s="9">
        <v>2377670</v>
      </c>
      <c r="F9" s="61">
        <v>7</v>
      </c>
      <c r="G9" s="9">
        <v>1528310</v>
      </c>
      <c r="H9" s="8">
        <v>2</v>
      </c>
      <c r="I9" s="9">
        <v>178090</v>
      </c>
      <c r="J9" s="8">
        <v>4</v>
      </c>
      <c r="K9" s="9">
        <v>723500</v>
      </c>
      <c r="L9" s="8">
        <v>2</v>
      </c>
      <c r="M9" s="9">
        <v>264140</v>
      </c>
      <c r="N9" s="8">
        <v>0</v>
      </c>
      <c r="O9" s="9">
        <v>0</v>
      </c>
      <c r="P9" s="8">
        <v>11</v>
      </c>
      <c r="Q9" s="9">
        <v>2484010</v>
      </c>
      <c r="R9" s="8">
        <v>3</v>
      </c>
      <c r="S9" s="9">
        <v>629760</v>
      </c>
      <c r="T9" s="8">
        <v>6</v>
      </c>
      <c r="U9" s="9">
        <v>1260940</v>
      </c>
      <c r="V9" s="8">
        <v>2</v>
      </c>
      <c r="W9" s="9">
        <v>218470</v>
      </c>
      <c r="X9" s="8">
        <v>0</v>
      </c>
      <c r="Y9" s="9">
        <v>0</v>
      </c>
      <c r="Z9" s="8">
        <v>7</v>
      </c>
      <c r="AA9" s="9">
        <v>1825320</v>
      </c>
      <c r="AB9" s="8">
        <v>10</v>
      </c>
      <c r="AC9" s="9">
        <v>2267550</v>
      </c>
      <c r="AD9" s="8">
        <v>27</v>
      </c>
      <c r="AE9" s="9">
        <v>13714560</v>
      </c>
      <c r="AF9" s="8">
        <v>5</v>
      </c>
      <c r="AG9" s="9">
        <v>1034650</v>
      </c>
    </row>
    <row r="10" spans="1:33" ht="20.25" x14ac:dyDescent="0.25">
      <c r="A10" s="42">
        <v>46029</v>
      </c>
      <c r="B10" s="43">
        <f t="shared" si="0"/>
        <v>94</v>
      </c>
      <c r="C10" s="44">
        <f t="shared" si="1"/>
        <v>20236280</v>
      </c>
      <c r="D10" s="8">
        <v>18</v>
      </c>
      <c r="E10" s="9">
        <v>5092850</v>
      </c>
      <c r="F10" s="61">
        <v>7</v>
      </c>
      <c r="G10" s="9">
        <v>2414450</v>
      </c>
      <c r="H10" s="8">
        <v>10</v>
      </c>
      <c r="I10" s="9">
        <v>1654600</v>
      </c>
      <c r="J10" s="8">
        <v>1</v>
      </c>
      <c r="K10" s="9">
        <v>58110</v>
      </c>
      <c r="L10" s="8">
        <v>3</v>
      </c>
      <c r="M10" s="9">
        <v>738120</v>
      </c>
      <c r="N10" s="8">
        <v>4</v>
      </c>
      <c r="O10" s="18">
        <v>789120</v>
      </c>
      <c r="P10" s="8">
        <v>2</v>
      </c>
      <c r="Q10" s="9">
        <v>340300</v>
      </c>
      <c r="R10" s="8">
        <v>8</v>
      </c>
      <c r="S10" s="9">
        <v>1759320</v>
      </c>
      <c r="T10" s="8">
        <v>16</v>
      </c>
      <c r="U10" s="9">
        <v>2413120</v>
      </c>
      <c r="V10" s="8">
        <v>9</v>
      </c>
      <c r="W10" s="9">
        <v>1208310</v>
      </c>
      <c r="X10" s="8">
        <v>1</v>
      </c>
      <c r="Y10" s="9">
        <v>338630</v>
      </c>
      <c r="Z10" s="8">
        <v>1</v>
      </c>
      <c r="AA10" s="9">
        <v>99120</v>
      </c>
      <c r="AB10" s="8">
        <v>3</v>
      </c>
      <c r="AC10" s="9">
        <v>312560</v>
      </c>
      <c r="AD10" s="8">
        <v>8</v>
      </c>
      <c r="AE10" s="9">
        <v>2495360</v>
      </c>
      <c r="AF10" s="8">
        <v>3</v>
      </c>
      <c r="AG10" s="9">
        <v>522310</v>
      </c>
    </row>
    <row r="11" spans="1:33" ht="20.25" x14ac:dyDescent="0.25">
      <c r="A11" s="45">
        <v>46030</v>
      </c>
      <c r="B11" s="43">
        <f t="shared" si="0"/>
        <v>52</v>
      </c>
      <c r="C11" s="44">
        <f t="shared" si="1"/>
        <v>12277550</v>
      </c>
      <c r="D11" s="8">
        <v>8</v>
      </c>
      <c r="E11" s="9">
        <v>3837470</v>
      </c>
      <c r="F11" s="61">
        <v>5</v>
      </c>
      <c r="G11" s="9">
        <v>1019390</v>
      </c>
      <c r="H11" s="8">
        <v>4</v>
      </c>
      <c r="I11" s="9">
        <v>831740</v>
      </c>
      <c r="J11" s="8">
        <v>7</v>
      </c>
      <c r="K11" s="9">
        <v>1126920</v>
      </c>
      <c r="L11" s="8">
        <v>3</v>
      </c>
      <c r="M11" s="9">
        <v>368300</v>
      </c>
      <c r="N11" s="8">
        <v>1</v>
      </c>
      <c r="O11" s="9">
        <v>243750</v>
      </c>
      <c r="P11" s="8">
        <v>1</v>
      </c>
      <c r="Q11" s="9">
        <v>676520</v>
      </c>
      <c r="R11" s="8">
        <v>2</v>
      </c>
      <c r="S11" s="9">
        <v>518080</v>
      </c>
      <c r="T11" s="8">
        <v>16</v>
      </c>
      <c r="U11" s="9">
        <v>2556730</v>
      </c>
      <c r="V11" s="8">
        <v>3</v>
      </c>
      <c r="W11" s="9">
        <v>581430</v>
      </c>
      <c r="X11" s="8">
        <v>2</v>
      </c>
      <c r="Y11" s="9">
        <v>517220</v>
      </c>
      <c r="Z11" s="8">
        <v>0</v>
      </c>
      <c r="AA11" s="9">
        <v>0</v>
      </c>
      <c r="AB11" s="8">
        <v>0</v>
      </c>
      <c r="AC11" s="9">
        <v>0</v>
      </c>
      <c r="AD11" s="8">
        <v>0</v>
      </c>
      <c r="AE11" s="9">
        <v>0</v>
      </c>
      <c r="AF11" s="8">
        <v>0</v>
      </c>
      <c r="AG11" s="9">
        <v>0</v>
      </c>
    </row>
    <row r="12" spans="1:33" ht="20.25" x14ac:dyDescent="0.25">
      <c r="A12" s="42">
        <v>46031</v>
      </c>
      <c r="B12" s="43">
        <f t="shared" si="0"/>
        <v>105</v>
      </c>
      <c r="C12" s="44">
        <f t="shared" si="1"/>
        <v>24903050</v>
      </c>
      <c r="D12" s="8">
        <v>15</v>
      </c>
      <c r="E12" s="9">
        <v>3612780</v>
      </c>
      <c r="F12" s="61">
        <v>11</v>
      </c>
      <c r="G12" s="9">
        <v>1838050</v>
      </c>
      <c r="H12" s="8">
        <v>5</v>
      </c>
      <c r="I12" s="9">
        <v>967660</v>
      </c>
      <c r="J12" s="8">
        <v>3</v>
      </c>
      <c r="K12" s="9">
        <v>346230</v>
      </c>
      <c r="L12" s="8">
        <v>2</v>
      </c>
      <c r="M12" s="9">
        <v>321330</v>
      </c>
      <c r="N12" s="8">
        <v>6</v>
      </c>
      <c r="O12" s="9">
        <v>1418330</v>
      </c>
      <c r="P12" s="8">
        <v>11</v>
      </c>
      <c r="Q12" s="9">
        <v>2796540</v>
      </c>
      <c r="R12" s="8">
        <v>4</v>
      </c>
      <c r="S12" s="9">
        <v>2182730</v>
      </c>
      <c r="T12" s="8">
        <v>8</v>
      </c>
      <c r="U12" s="9">
        <v>851380</v>
      </c>
      <c r="V12" s="8">
        <v>6</v>
      </c>
      <c r="W12" s="9">
        <v>1434130</v>
      </c>
      <c r="X12" s="8">
        <v>1</v>
      </c>
      <c r="Y12" s="9">
        <v>430580</v>
      </c>
      <c r="Z12" s="8">
        <v>8</v>
      </c>
      <c r="AA12" s="9">
        <v>1983210</v>
      </c>
      <c r="AB12" s="8">
        <v>2</v>
      </c>
      <c r="AC12" s="9">
        <v>332240</v>
      </c>
      <c r="AD12" s="8">
        <v>16</v>
      </c>
      <c r="AE12" s="9">
        <v>5092160</v>
      </c>
      <c r="AF12" s="8">
        <v>7</v>
      </c>
      <c r="AG12" s="9">
        <v>1295700</v>
      </c>
    </row>
    <row r="13" spans="1:33" ht="20.25" x14ac:dyDescent="0.25">
      <c r="A13" s="45">
        <v>46032</v>
      </c>
      <c r="B13" s="43">
        <f t="shared" si="0"/>
        <v>56</v>
      </c>
      <c r="C13" s="44">
        <f t="shared" si="1"/>
        <v>10966390</v>
      </c>
      <c r="D13" s="8">
        <v>6</v>
      </c>
      <c r="E13" s="9">
        <v>1255840</v>
      </c>
      <c r="F13" s="61">
        <v>0</v>
      </c>
      <c r="G13" s="9">
        <v>0</v>
      </c>
      <c r="H13" s="8">
        <v>2</v>
      </c>
      <c r="I13" s="9">
        <v>348970</v>
      </c>
      <c r="J13" s="8">
        <v>4</v>
      </c>
      <c r="K13" s="9">
        <v>582190</v>
      </c>
      <c r="L13" s="8">
        <v>7</v>
      </c>
      <c r="M13" s="9">
        <v>1358240</v>
      </c>
      <c r="N13" s="8">
        <v>0</v>
      </c>
      <c r="O13" s="9">
        <v>0</v>
      </c>
      <c r="P13" s="8">
        <v>14</v>
      </c>
      <c r="Q13" s="9">
        <v>2662520</v>
      </c>
      <c r="R13" s="8">
        <v>5</v>
      </c>
      <c r="S13" s="9">
        <v>1189840</v>
      </c>
      <c r="T13" s="8">
        <v>1</v>
      </c>
      <c r="U13" s="9">
        <v>67950</v>
      </c>
      <c r="V13" s="8">
        <v>4</v>
      </c>
      <c r="W13" s="9">
        <v>420550</v>
      </c>
      <c r="X13" s="8">
        <v>0</v>
      </c>
      <c r="Y13" s="9">
        <v>0</v>
      </c>
      <c r="Z13" s="8">
        <v>3</v>
      </c>
      <c r="AA13" s="9">
        <v>618510</v>
      </c>
      <c r="AB13" s="8">
        <v>0</v>
      </c>
      <c r="AC13" s="9">
        <v>0</v>
      </c>
      <c r="AD13" s="8">
        <v>7</v>
      </c>
      <c r="AE13" s="9">
        <v>1633420</v>
      </c>
      <c r="AF13" s="8">
        <v>3</v>
      </c>
      <c r="AG13" s="9">
        <v>828360</v>
      </c>
    </row>
    <row r="14" spans="1:33" ht="20.25" x14ac:dyDescent="0.25">
      <c r="A14" s="42">
        <v>46033</v>
      </c>
      <c r="B14" s="43">
        <f t="shared" si="0"/>
        <v>56</v>
      </c>
      <c r="C14" s="44">
        <f t="shared" si="1"/>
        <v>16259880</v>
      </c>
      <c r="D14" s="8">
        <v>7</v>
      </c>
      <c r="E14" s="9">
        <v>2166300</v>
      </c>
      <c r="F14" s="61">
        <v>8</v>
      </c>
      <c r="G14" s="9">
        <v>5067640</v>
      </c>
      <c r="H14" s="8">
        <v>0</v>
      </c>
      <c r="I14" s="9">
        <v>0</v>
      </c>
      <c r="J14" s="8">
        <v>2</v>
      </c>
      <c r="K14" s="9">
        <v>439420</v>
      </c>
      <c r="L14" s="8">
        <v>3</v>
      </c>
      <c r="M14" s="9">
        <v>533970</v>
      </c>
      <c r="N14" s="8">
        <v>1</v>
      </c>
      <c r="O14" s="18">
        <v>599480</v>
      </c>
      <c r="P14" s="8">
        <v>4</v>
      </c>
      <c r="Q14" s="9">
        <v>548280</v>
      </c>
      <c r="R14" s="8">
        <v>6</v>
      </c>
      <c r="S14" s="9">
        <v>1399130</v>
      </c>
      <c r="T14" s="8">
        <v>11</v>
      </c>
      <c r="U14" s="9">
        <v>1697440</v>
      </c>
      <c r="V14" s="8">
        <v>5</v>
      </c>
      <c r="W14" s="9">
        <v>1346030</v>
      </c>
      <c r="X14" s="8">
        <v>0</v>
      </c>
      <c r="Y14" s="9">
        <v>0</v>
      </c>
      <c r="Z14" s="8">
        <v>3</v>
      </c>
      <c r="AA14" s="9">
        <v>631980</v>
      </c>
      <c r="AB14" s="8">
        <v>0</v>
      </c>
      <c r="AC14" s="9">
        <v>0</v>
      </c>
      <c r="AD14" s="8">
        <v>5</v>
      </c>
      <c r="AE14" s="9">
        <v>1437750</v>
      </c>
      <c r="AF14" s="8">
        <v>1</v>
      </c>
      <c r="AG14" s="9">
        <v>392460</v>
      </c>
    </row>
    <row r="15" spans="1:33" ht="20.25" x14ac:dyDescent="0.25">
      <c r="A15" s="45">
        <v>46034</v>
      </c>
      <c r="B15" s="43">
        <f t="shared" si="0"/>
        <v>38</v>
      </c>
      <c r="C15" s="44">
        <f t="shared" si="1"/>
        <v>9764880</v>
      </c>
      <c r="D15" s="8">
        <v>2</v>
      </c>
      <c r="E15" s="9">
        <v>402720</v>
      </c>
      <c r="F15" s="61">
        <v>4</v>
      </c>
      <c r="G15" s="9">
        <v>982360</v>
      </c>
      <c r="H15" s="8">
        <v>19</v>
      </c>
      <c r="I15" s="9">
        <v>4134380</v>
      </c>
      <c r="J15" s="8">
        <v>0</v>
      </c>
      <c r="K15" s="9">
        <v>0</v>
      </c>
      <c r="L15" s="8">
        <v>0</v>
      </c>
      <c r="M15" s="9">
        <v>0</v>
      </c>
      <c r="N15" s="8">
        <v>0</v>
      </c>
      <c r="O15" s="9">
        <v>0</v>
      </c>
      <c r="P15" s="8">
        <v>2</v>
      </c>
      <c r="Q15" s="9">
        <v>342940</v>
      </c>
      <c r="R15" s="8">
        <v>0</v>
      </c>
      <c r="S15" s="9">
        <v>0</v>
      </c>
      <c r="T15" s="8">
        <v>0</v>
      </c>
      <c r="U15" s="9">
        <v>0</v>
      </c>
      <c r="V15" s="8">
        <v>5</v>
      </c>
      <c r="W15" s="9">
        <v>1314220</v>
      </c>
      <c r="X15" s="8">
        <v>0</v>
      </c>
      <c r="Y15" s="9">
        <v>0</v>
      </c>
      <c r="Z15" s="8">
        <v>2</v>
      </c>
      <c r="AA15" s="9">
        <v>356260</v>
      </c>
      <c r="AB15" s="8">
        <v>0</v>
      </c>
      <c r="AC15" s="9">
        <v>0</v>
      </c>
      <c r="AD15" s="8">
        <v>4</v>
      </c>
      <c r="AE15" s="9">
        <v>2232000</v>
      </c>
      <c r="AF15" s="8">
        <v>0</v>
      </c>
      <c r="AG15" s="9">
        <v>0</v>
      </c>
    </row>
    <row r="16" spans="1:33" ht="20.25" x14ac:dyDescent="0.25">
      <c r="A16" s="42">
        <v>46035</v>
      </c>
      <c r="B16" s="43">
        <f t="shared" si="0"/>
        <v>62</v>
      </c>
      <c r="C16" s="44">
        <f t="shared" si="1"/>
        <v>14990680</v>
      </c>
      <c r="D16" s="8">
        <v>6</v>
      </c>
      <c r="E16" s="9">
        <v>1824340</v>
      </c>
      <c r="F16" s="61">
        <v>0</v>
      </c>
      <c r="G16" s="9">
        <v>0</v>
      </c>
      <c r="H16" s="8">
        <v>18</v>
      </c>
      <c r="I16" s="9">
        <v>3617510</v>
      </c>
      <c r="J16" s="8">
        <v>0</v>
      </c>
      <c r="K16" s="9">
        <v>0</v>
      </c>
      <c r="L16" s="8">
        <v>0</v>
      </c>
      <c r="M16" s="9">
        <v>0</v>
      </c>
      <c r="N16" s="8">
        <v>1</v>
      </c>
      <c r="O16" s="7">
        <v>258610</v>
      </c>
      <c r="P16" s="8">
        <v>0</v>
      </c>
      <c r="Q16" s="9">
        <v>0</v>
      </c>
      <c r="R16" s="8">
        <v>0</v>
      </c>
      <c r="S16" s="9">
        <v>0</v>
      </c>
      <c r="T16" s="8">
        <v>0</v>
      </c>
      <c r="U16" s="9">
        <v>0</v>
      </c>
      <c r="V16" s="8">
        <v>1</v>
      </c>
      <c r="W16" s="9">
        <v>216700</v>
      </c>
      <c r="X16" s="8">
        <v>0</v>
      </c>
      <c r="Y16" s="9">
        <v>0</v>
      </c>
      <c r="Z16" s="8">
        <v>0</v>
      </c>
      <c r="AA16" s="9">
        <v>0</v>
      </c>
      <c r="AB16" s="8">
        <v>10</v>
      </c>
      <c r="AC16" s="9">
        <v>2227610</v>
      </c>
      <c r="AD16" s="8">
        <v>26</v>
      </c>
      <c r="AE16" s="9">
        <v>6845910</v>
      </c>
      <c r="AF16" s="8">
        <v>0</v>
      </c>
      <c r="AG16" s="9">
        <v>0</v>
      </c>
    </row>
    <row r="17" spans="1:33" ht="20.25" x14ac:dyDescent="0.25">
      <c r="A17" s="45">
        <v>46036</v>
      </c>
      <c r="B17" s="43">
        <f t="shared" si="0"/>
        <v>88</v>
      </c>
      <c r="C17" s="44">
        <f t="shared" si="1"/>
        <v>25001230</v>
      </c>
      <c r="D17" s="8">
        <v>0</v>
      </c>
      <c r="E17" s="9">
        <v>0</v>
      </c>
      <c r="F17" s="61">
        <v>4</v>
      </c>
      <c r="G17" s="9">
        <v>658060</v>
      </c>
      <c r="H17" s="8">
        <v>24</v>
      </c>
      <c r="I17" s="9">
        <v>5147570</v>
      </c>
      <c r="J17" s="8">
        <v>4</v>
      </c>
      <c r="K17" s="9">
        <v>975600</v>
      </c>
      <c r="L17" s="8">
        <v>2</v>
      </c>
      <c r="M17" s="9">
        <v>617570</v>
      </c>
      <c r="N17" s="8">
        <v>7</v>
      </c>
      <c r="O17" s="9">
        <v>2548590</v>
      </c>
      <c r="P17" s="8">
        <v>3</v>
      </c>
      <c r="Q17" s="9">
        <v>735420</v>
      </c>
      <c r="R17" s="8">
        <v>1</v>
      </c>
      <c r="S17" s="9">
        <v>157100</v>
      </c>
      <c r="T17" s="8">
        <v>3</v>
      </c>
      <c r="U17" s="9">
        <v>916810</v>
      </c>
      <c r="V17" s="8">
        <v>10</v>
      </c>
      <c r="W17" s="9">
        <v>2765790</v>
      </c>
      <c r="X17" s="8">
        <v>0</v>
      </c>
      <c r="Y17" s="9">
        <v>0</v>
      </c>
      <c r="Z17" s="8">
        <v>0</v>
      </c>
      <c r="AA17" s="9">
        <v>0</v>
      </c>
      <c r="AB17" s="8">
        <v>5</v>
      </c>
      <c r="AC17" s="9">
        <v>1024800</v>
      </c>
      <c r="AD17" s="8">
        <v>25</v>
      </c>
      <c r="AE17" s="9">
        <v>9453920</v>
      </c>
      <c r="AF17" s="8">
        <v>0</v>
      </c>
      <c r="AG17" s="9">
        <v>0</v>
      </c>
    </row>
    <row r="18" spans="1:33" ht="20.25" x14ac:dyDescent="0.25">
      <c r="A18" s="42">
        <v>46037</v>
      </c>
      <c r="B18" s="43">
        <f t="shared" si="0"/>
        <v>47</v>
      </c>
      <c r="C18" s="44">
        <f t="shared" si="1"/>
        <v>19142910</v>
      </c>
      <c r="D18" s="8">
        <v>8</v>
      </c>
      <c r="E18" s="9">
        <v>9369000</v>
      </c>
      <c r="F18" s="61">
        <v>4</v>
      </c>
      <c r="G18" s="9">
        <v>1224650</v>
      </c>
      <c r="H18" s="8">
        <v>2</v>
      </c>
      <c r="I18" s="9">
        <v>540000</v>
      </c>
      <c r="J18" s="8">
        <v>1</v>
      </c>
      <c r="K18" s="9">
        <v>136100</v>
      </c>
      <c r="L18" s="8">
        <v>0</v>
      </c>
      <c r="M18" s="9">
        <v>0</v>
      </c>
      <c r="N18" s="8">
        <v>21</v>
      </c>
      <c r="O18" s="9">
        <v>4598400</v>
      </c>
      <c r="P18" s="8">
        <v>1</v>
      </c>
      <c r="Q18" s="9">
        <v>245140</v>
      </c>
      <c r="R18" s="8">
        <v>0</v>
      </c>
      <c r="S18" s="9">
        <v>0</v>
      </c>
      <c r="T18" s="8">
        <v>0</v>
      </c>
      <c r="U18" s="9">
        <v>0</v>
      </c>
      <c r="V18" s="8">
        <v>4</v>
      </c>
      <c r="W18" s="9">
        <v>976010</v>
      </c>
      <c r="X18" s="8">
        <v>0</v>
      </c>
      <c r="Y18" s="9">
        <v>0</v>
      </c>
      <c r="Z18" s="8">
        <v>0</v>
      </c>
      <c r="AA18" s="9">
        <v>0</v>
      </c>
      <c r="AB18" s="8">
        <v>1</v>
      </c>
      <c r="AC18" s="9">
        <v>216700</v>
      </c>
      <c r="AD18" s="8">
        <v>2</v>
      </c>
      <c r="AE18" s="9">
        <v>1322000</v>
      </c>
      <c r="AF18" s="8">
        <v>3</v>
      </c>
      <c r="AG18" s="9">
        <v>514910</v>
      </c>
    </row>
    <row r="19" spans="1:33" ht="20.25" x14ac:dyDescent="0.25">
      <c r="A19" s="45">
        <v>46038</v>
      </c>
      <c r="B19" s="43">
        <f t="shared" si="0"/>
        <v>62</v>
      </c>
      <c r="C19" s="44">
        <f t="shared" si="1"/>
        <v>20624920</v>
      </c>
      <c r="D19" s="8">
        <v>29</v>
      </c>
      <c r="E19" s="9">
        <v>12671140</v>
      </c>
      <c r="F19" s="61">
        <v>2</v>
      </c>
      <c r="G19" s="9">
        <v>386240</v>
      </c>
      <c r="H19" s="8">
        <v>6</v>
      </c>
      <c r="I19" s="9">
        <v>1141020</v>
      </c>
      <c r="J19" s="8">
        <v>0</v>
      </c>
      <c r="K19" s="18">
        <v>0</v>
      </c>
      <c r="L19" s="8">
        <v>1</v>
      </c>
      <c r="M19" s="9">
        <v>329630</v>
      </c>
      <c r="N19" s="8">
        <v>1</v>
      </c>
      <c r="O19" s="18">
        <v>282480</v>
      </c>
      <c r="P19" s="8">
        <v>2</v>
      </c>
      <c r="Q19" s="9">
        <v>490280</v>
      </c>
      <c r="R19" s="8">
        <v>0</v>
      </c>
      <c r="S19" s="9">
        <v>0</v>
      </c>
      <c r="T19" s="8">
        <v>0</v>
      </c>
      <c r="U19" s="9">
        <v>0</v>
      </c>
      <c r="V19" s="8">
        <v>4</v>
      </c>
      <c r="W19" s="9">
        <v>866800</v>
      </c>
      <c r="X19" s="8">
        <v>0</v>
      </c>
      <c r="Y19" s="9">
        <v>0</v>
      </c>
      <c r="Z19" s="8">
        <v>0</v>
      </c>
      <c r="AA19" s="9">
        <v>0</v>
      </c>
      <c r="AB19" s="8">
        <v>2</v>
      </c>
      <c r="AC19" s="9">
        <v>332240</v>
      </c>
      <c r="AD19" s="8">
        <v>11</v>
      </c>
      <c r="AE19" s="9">
        <v>3254210</v>
      </c>
      <c r="AF19" s="8">
        <v>4</v>
      </c>
      <c r="AG19" s="9">
        <v>870880</v>
      </c>
    </row>
    <row r="20" spans="1:33" ht="20.25" x14ac:dyDescent="0.25">
      <c r="A20" s="42">
        <v>46039</v>
      </c>
      <c r="B20" s="43">
        <f t="shared" si="0"/>
        <v>50</v>
      </c>
      <c r="C20" s="44">
        <f t="shared" si="1"/>
        <v>14036790</v>
      </c>
      <c r="D20" s="8">
        <v>15</v>
      </c>
      <c r="E20" s="9">
        <v>3816310</v>
      </c>
      <c r="F20" s="61">
        <v>3</v>
      </c>
      <c r="G20" s="9">
        <v>651880</v>
      </c>
      <c r="H20" s="8">
        <v>7</v>
      </c>
      <c r="I20" s="9">
        <v>1677310</v>
      </c>
      <c r="J20" s="8">
        <v>1</v>
      </c>
      <c r="K20" s="9">
        <v>372000</v>
      </c>
      <c r="L20" s="8">
        <v>3</v>
      </c>
      <c r="M20" s="9">
        <v>618500</v>
      </c>
      <c r="N20" s="8">
        <v>5</v>
      </c>
      <c r="O20" s="9">
        <v>1284570</v>
      </c>
      <c r="P20" s="8">
        <v>0</v>
      </c>
      <c r="Q20" s="9">
        <v>0</v>
      </c>
      <c r="R20" s="8">
        <v>0</v>
      </c>
      <c r="S20" s="9">
        <v>0</v>
      </c>
      <c r="T20" s="8">
        <v>2</v>
      </c>
      <c r="U20" s="9">
        <v>591710</v>
      </c>
      <c r="V20" s="8">
        <v>1</v>
      </c>
      <c r="W20" s="9">
        <v>136460</v>
      </c>
      <c r="X20" s="8">
        <v>0</v>
      </c>
      <c r="Y20" s="9">
        <v>0</v>
      </c>
      <c r="Z20" s="8">
        <v>0</v>
      </c>
      <c r="AA20" s="9">
        <v>0</v>
      </c>
      <c r="AB20" s="8">
        <v>1</v>
      </c>
      <c r="AC20" s="9">
        <v>1948970</v>
      </c>
      <c r="AD20" s="8">
        <v>11</v>
      </c>
      <c r="AE20" s="9">
        <v>2736160</v>
      </c>
      <c r="AF20" s="8">
        <v>1</v>
      </c>
      <c r="AG20" s="9">
        <v>202920</v>
      </c>
    </row>
    <row r="21" spans="1:33" ht="20.25" x14ac:dyDescent="0.25">
      <c r="A21" s="45">
        <v>46040</v>
      </c>
      <c r="B21" s="43">
        <f t="shared" si="0"/>
        <v>34</v>
      </c>
      <c r="C21" s="44">
        <f t="shared" si="1"/>
        <v>14460600</v>
      </c>
      <c r="D21" s="8">
        <v>7</v>
      </c>
      <c r="E21" s="9">
        <v>7024500</v>
      </c>
      <c r="F21" s="61">
        <v>0</v>
      </c>
      <c r="G21" s="9">
        <v>0</v>
      </c>
      <c r="H21" s="8">
        <v>9</v>
      </c>
      <c r="I21" s="9">
        <v>1710520</v>
      </c>
      <c r="J21" s="8">
        <v>3</v>
      </c>
      <c r="K21" s="9">
        <v>1001600</v>
      </c>
      <c r="L21" s="8">
        <v>2</v>
      </c>
      <c r="M21" s="9">
        <v>492080</v>
      </c>
      <c r="N21" s="8">
        <v>4</v>
      </c>
      <c r="O21" s="9">
        <v>1778680</v>
      </c>
      <c r="P21" s="8">
        <v>0</v>
      </c>
      <c r="Q21" s="9">
        <v>0</v>
      </c>
      <c r="R21" s="8">
        <v>0</v>
      </c>
      <c r="S21" s="9">
        <v>0</v>
      </c>
      <c r="T21" s="8">
        <v>3</v>
      </c>
      <c r="U21" s="9">
        <v>969250</v>
      </c>
      <c r="V21" s="8">
        <v>2</v>
      </c>
      <c r="W21" s="9">
        <v>518080</v>
      </c>
      <c r="X21" s="8">
        <v>0</v>
      </c>
      <c r="Y21" s="9">
        <v>0</v>
      </c>
      <c r="Z21" s="8">
        <v>0</v>
      </c>
      <c r="AA21" s="9">
        <v>0</v>
      </c>
      <c r="AB21" s="8">
        <v>3</v>
      </c>
      <c r="AC21" s="9">
        <v>720750</v>
      </c>
      <c r="AD21" s="8">
        <v>0</v>
      </c>
      <c r="AE21" s="9">
        <v>0</v>
      </c>
      <c r="AF21" s="8">
        <v>1</v>
      </c>
      <c r="AG21" s="9">
        <v>245140</v>
      </c>
    </row>
    <row r="22" spans="1:33" ht="20.25" x14ac:dyDescent="0.25">
      <c r="A22" s="42">
        <v>46041</v>
      </c>
      <c r="B22" s="43">
        <f t="shared" si="0"/>
        <v>104</v>
      </c>
      <c r="C22" s="44">
        <f t="shared" si="1"/>
        <v>34012800</v>
      </c>
      <c r="D22" s="8">
        <v>15</v>
      </c>
      <c r="E22" s="9">
        <v>3473030</v>
      </c>
      <c r="F22" s="61">
        <v>14</v>
      </c>
      <c r="G22" s="9">
        <v>7773850</v>
      </c>
      <c r="H22" s="8">
        <v>38</v>
      </c>
      <c r="I22" s="9">
        <v>11826040</v>
      </c>
      <c r="J22" s="8">
        <v>0</v>
      </c>
      <c r="K22" s="9">
        <v>0</v>
      </c>
      <c r="L22" s="8">
        <v>0</v>
      </c>
      <c r="M22" s="9">
        <v>0</v>
      </c>
      <c r="N22" s="8">
        <v>9</v>
      </c>
      <c r="O22" s="9">
        <v>2045250</v>
      </c>
      <c r="P22" s="8">
        <v>1</v>
      </c>
      <c r="Q22" s="9">
        <v>245140</v>
      </c>
      <c r="R22" s="8">
        <v>0</v>
      </c>
      <c r="S22" s="9">
        <v>0</v>
      </c>
      <c r="T22" s="8">
        <v>5</v>
      </c>
      <c r="U22" s="9">
        <v>1386340</v>
      </c>
      <c r="V22" s="8">
        <v>1</v>
      </c>
      <c r="W22" s="9">
        <v>392460</v>
      </c>
      <c r="X22" s="10">
        <v>0</v>
      </c>
      <c r="Y22" s="11">
        <v>0</v>
      </c>
      <c r="Z22" s="8">
        <v>0</v>
      </c>
      <c r="AA22" s="9">
        <v>0</v>
      </c>
      <c r="AB22" s="8">
        <v>2</v>
      </c>
      <c r="AC22" s="9">
        <v>405840</v>
      </c>
      <c r="AD22" s="8">
        <v>5</v>
      </c>
      <c r="AE22" s="9">
        <v>2926700</v>
      </c>
      <c r="AF22" s="8">
        <v>14</v>
      </c>
      <c r="AG22" s="9">
        <v>3538150</v>
      </c>
    </row>
    <row r="23" spans="1:33" ht="20.25" x14ac:dyDescent="0.25">
      <c r="A23" s="45">
        <v>46042</v>
      </c>
      <c r="B23" s="43">
        <f t="shared" si="0"/>
        <v>45</v>
      </c>
      <c r="C23" s="44">
        <f t="shared" si="1"/>
        <v>14174070</v>
      </c>
      <c r="D23" s="8">
        <v>3</v>
      </c>
      <c r="E23" s="9">
        <v>1567910</v>
      </c>
      <c r="F23" s="60">
        <v>8</v>
      </c>
      <c r="G23" s="7">
        <v>2280500</v>
      </c>
      <c r="H23" s="8">
        <v>15</v>
      </c>
      <c r="I23" s="9">
        <v>3207870</v>
      </c>
      <c r="J23" s="8">
        <v>0</v>
      </c>
      <c r="K23" s="9">
        <v>0</v>
      </c>
      <c r="L23" s="8">
        <v>1</v>
      </c>
      <c r="M23" s="9">
        <v>157100</v>
      </c>
      <c r="N23" s="8">
        <v>5</v>
      </c>
      <c r="O23" s="9">
        <v>1393700</v>
      </c>
      <c r="P23" s="8">
        <v>8</v>
      </c>
      <c r="Q23" s="9">
        <v>1945290</v>
      </c>
      <c r="R23" s="8">
        <v>0</v>
      </c>
      <c r="S23" s="9">
        <v>0</v>
      </c>
      <c r="T23" s="8">
        <v>3</v>
      </c>
      <c r="U23" s="9">
        <v>607500</v>
      </c>
      <c r="V23" s="8">
        <v>0</v>
      </c>
      <c r="W23" s="9">
        <v>0</v>
      </c>
      <c r="X23" s="8">
        <v>0</v>
      </c>
      <c r="Y23" s="9">
        <v>0</v>
      </c>
      <c r="Z23" s="6">
        <v>0</v>
      </c>
      <c r="AA23" s="7">
        <v>0</v>
      </c>
      <c r="AB23" s="8">
        <v>0</v>
      </c>
      <c r="AC23" s="9">
        <v>0</v>
      </c>
      <c r="AD23" s="8">
        <v>1</v>
      </c>
      <c r="AE23" s="9">
        <v>2770450</v>
      </c>
      <c r="AF23" s="8">
        <v>1</v>
      </c>
      <c r="AG23" s="9">
        <v>243750</v>
      </c>
    </row>
    <row r="24" spans="1:33" ht="20.25" x14ac:dyDescent="0.25">
      <c r="A24" s="42">
        <v>46043</v>
      </c>
      <c r="B24" s="43">
        <f t="shared" si="0"/>
        <v>90</v>
      </c>
      <c r="C24" s="44">
        <f t="shared" si="1"/>
        <v>35965350</v>
      </c>
      <c r="D24" s="8">
        <v>22</v>
      </c>
      <c r="E24" s="9">
        <v>13019700</v>
      </c>
      <c r="F24" s="61">
        <v>1</v>
      </c>
      <c r="G24" s="9">
        <v>443000</v>
      </c>
      <c r="H24" s="8">
        <v>19</v>
      </c>
      <c r="I24" s="9">
        <v>4333870</v>
      </c>
      <c r="J24" s="8">
        <v>0</v>
      </c>
      <c r="K24" s="9">
        <v>0</v>
      </c>
      <c r="L24" s="8">
        <v>4</v>
      </c>
      <c r="M24" s="9">
        <v>421740</v>
      </c>
      <c r="N24" s="8">
        <v>11</v>
      </c>
      <c r="O24" s="9">
        <v>3984380</v>
      </c>
      <c r="P24" s="8">
        <v>0</v>
      </c>
      <c r="Q24" s="9">
        <v>0</v>
      </c>
      <c r="R24" s="8">
        <v>1</v>
      </c>
      <c r="S24" s="9">
        <v>245140</v>
      </c>
      <c r="T24" s="8">
        <v>4</v>
      </c>
      <c r="U24" s="9">
        <v>878840</v>
      </c>
      <c r="V24" s="8">
        <v>0</v>
      </c>
      <c r="W24" s="9">
        <v>0</v>
      </c>
      <c r="X24" s="10">
        <v>0</v>
      </c>
      <c r="Y24" s="11">
        <v>0</v>
      </c>
      <c r="Z24" s="8"/>
      <c r="AA24" s="9"/>
      <c r="AB24" s="8">
        <v>1</v>
      </c>
      <c r="AC24" s="9">
        <v>272940</v>
      </c>
      <c r="AD24" s="8">
        <v>26</v>
      </c>
      <c r="AE24" s="9">
        <v>12092800</v>
      </c>
      <c r="AF24" s="8">
        <v>1</v>
      </c>
      <c r="AG24" s="9">
        <v>272940</v>
      </c>
    </row>
    <row r="25" spans="1:33" ht="20.25" x14ac:dyDescent="0.25">
      <c r="A25" s="45">
        <v>46044</v>
      </c>
      <c r="B25" s="43">
        <f t="shared" si="0"/>
        <v>238</v>
      </c>
      <c r="C25" s="44">
        <f t="shared" si="1"/>
        <v>52765460</v>
      </c>
      <c r="D25" s="8">
        <v>41</v>
      </c>
      <c r="E25" s="9">
        <v>10765440</v>
      </c>
      <c r="F25" s="61">
        <v>19</v>
      </c>
      <c r="G25" s="9">
        <v>5073300</v>
      </c>
      <c r="H25" s="8">
        <v>82</v>
      </c>
      <c r="I25" s="9">
        <v>16758430</v>
      </c>
      <c r="J25" s="8">
        <v>7</v>
      </c>
      <c r="K25" s="9">
        <v>1537970</v>
      </c>
      <c r="L25" s="8">
        <v>4</v>
      </c>
      <c r="M25" s="9">
        <v>600360</v>
      </c>
      <c r="N25" s="8">
        <v>13</v>
      </c>
      <c r="O25" s="9">
        <v>3668880</v>
      </c>
      <c r="P25" s="8">
        <v>0</v>
      </c>
      <c r="Q25" s="9">
        <v>0</v>
      </c>
      <c r="R25" s="8">
        <v>0</v>
      </c>
      <c r="S25" s="9">
        <v>0</v>
      </c>
      <c r="T25" s="8">
        <v>0</v>
      </c>
      <c r="U25" s="9">
        <v>0</v>
      </c>
      <c r="V25" s="8">
        <v>4</v>
      </c>
      <c r="W25" s="9">
        <v>715580</v>
      </c>
      <c r="X25" s="10">
        <v>0</v>
      </c>
      <c r="Y25" s="11">
        <v>0</v>
      </c>
      <c r="Z25" s="8">
        <v>0</v>
      </c>
      <c r="AA25" s="9">
        <v>0</v>
      </c>
      <c r="AB25" s="8">
        <v>23</v>
      </c>
      <c r="AC25" s="9">
        <v>4544400</v>
      </c>
      <c r="AD25" s="8">
        <v>41</v>
      </c>
      <c r="AE25" s="9">
        <v>8390380</v>
      </c>
      <c r="AF25" s="8">
        <v>4</v>
      </c>
      <c r="AG25" s="9">
        <v>710720</v>
      </c>
    </row>
    <row r="26" spans="1:33" ht="20.25" x14ac:dyDescent="0.25">
      <c r="A26" s="42">
        <v>46045</v>
      </c>
      <c r="B26" s="43">
        <f t="shared" si="0"/>
        <v>160</v>
      </c>
      <c r="C26" s="44">
        <f t="shared" si="1"/>
        <v>41789030</v>
      </c>
      <c r="D26" s="8">
        <v>21</v>
      </c>
      <c r="E26" s="9">
        <v>5246490</v>
      </c>
      <c r="F26" s="61">
        <v>9</v>
      </c>
      <c r="G26" s="9">
        <v>1969640</v>
      </c>
      <c r="H26" s="8">
        <v>42</v>
      </c>
      <c r="I26" s="9">
        <v>9661380</v>
      </c>
      <c r="J26" s="8">
        <v>0</v>
      </c>
      <c r="K26" s="9">
        <v>0</v>
      </c>
      <c r="L26" s="8">
        <v>0</v>
      </c>
      <c r="M26" s="9">
        <v>0</v>
      </c>
      <c r="N26" s="8">
        <v>12</v>
      </c>
      <c r="O26" s="9">
        <v>7626810</v>
      </c>
      <c r="P26" s="8">
        <v>1</v>
      </c>
      <c r="Q26" s="9">
        <v>157100</v>
      </c>
      <c r="R26" s="8">
        <v>0</v>
      </c>
      <c r="S26" s="9">
        <v>0</v>
      </c>
      <c r="T26" s="8">
        <v>11</v>
      </c>
      <c r="U26" s="9">
        <v>2322300</v>
      </c>
      <c r="V26" s="8">
        <v>11</v>
      </c>
      <c r="W26" s="9">
        <v>2570630</v>
      </c>
      <c r="X26" s="8">
        <v>0</v>
      </c>
      <c r="Y26" s="9">
        <v>0</v>
      </c>
      <c r="Z26" s="8">
        <v>0</v>
      </c>
      <c r="AA26" s="9">
        <v>0</v>
      </c>
      <c r="AB26" s="8">
        <v>0</v>
      </c>
      <c r="AC26" s="9">
        <v>0</v>
      </c>
      <c r="AD26" s="8">
        <v>38</v>
      </c>
      <c r="AE26" s="9">
        <v>9053330</v>
      </c>
      <c r="AF26" s="8">
        <v>15</v>
      </c>
      <c r="AG26" s="9">
        <v>3181350</v>
      </c>
    </row>
    <row r="27" spans="1:33" ht="20.25" x14ac:dyDescent="0.25">
      <c r="A27" s="45">
        <v>46046</v>
      </c>
      <c r="B27" s="43">
        <f t="shared" si="0"/>
        <v>71</v>
      </c>
      <c r="C27" s="44">
        <f t="shared" si="1"/>
        <v>26660850</v>
      </c>
      <c r="D27" s="8">
        <v>1</v>
      </c>
      <c r="E27" s="64">
        <v>246040</v>
      </c>
      <c r="F27" s="61">
        <v>3</v>
      </c>
      <c r="G27" s="9">
        <v>611510</v>
      </c>
      <c r="H27" s="8">
        <v>12</v>
      </c>
      <c r="I27" s="9">
        <v>2654730</v>
      </c>
      <c r="J27" s="8">
        <v>0</v>
      </c>
      <c r="K27" s="9">
        <v>0</v>
      </c>
      <c r="L27" s="8">
        <v>0</v>
      </c>
      <c r="M27" s="9">
        <v>0</v>
      </c>
      <c r="N27" s="8">
        <v>30</v>
      </c>
      <c r="O27" s="9">
        <v>13193880</v>
      </c>
      <c r="P27" s="8">
        <v>2</v>
      </c>
      <c r="Q27" s="9">
        <v>510640</v>
      </c>
      <c r="R27" s="61">
        <v>6</v>
      </c>
      <c r="S27" s="9">
        <v>1352540</v>
      </c>
      <c r="T27" s="8">
        <v>10</v>
      </c>
      <c r="U27" s="9">
        <v>4343630</v>
      </c>
      <c r="V27" s="8">
        <v>1</v>
      </c>
      <c r="W27" s="9">
        <v>105030</v>
      </c>
      <c r="X27" s="8">
        <v>0</v>
      </c>
      <c r="Y27" s="9">
        <v>0</v>
      </c>
      <c r="Z27" s="6">
        <v>0</v>
      </c>
      <c r="AA27" s="7">
        <v>0</v>
      </c>
      <c r="AB27" s="8">
        <v>1</v>
      </c>
      <c r="AC27" s="9">
        <v>202920</v>
      </c>
      <c r="AD27" s="8">
        <v>5</v>
      </c>
      <c r="AE27" s="9">
        <v>3439930</v>
      </c>
      <c r="AF27" s="8">
        <v>0</v>
      </c>
      <c r="AG27" s="9">
        <v>0</v>
      </c>
    </row>
    <row r="28" spans="1:33" ht="20.25" x14ac:dyDescent="0.25">
      <c r="A28" s="42">
        <v>46047</v>
      </c>
      <c r="B28" s="43">
        <f t="shared" si="0"/>
        <v>47</v>
      </c>
      <c r="C28" s="44">
        <f t="shared" si="1"/>
        <v>16863470</v>
      </c>
      <c r="D28" s="8">
        <v>17</v>
      </c>
      <c r="E28" s="9">
        <v>4934790</v>
      </c>
      <c r="F28" s="61">
        <v>5</v>
      </c>
      <c r="G28" s="9">
        <v>3853380</v>
      </c>
      <c r="H28" s="8">
        <v>0</v>
      </c>
      <c r="I28" s="9">
        <v>0</v>
      </c>
      <c r="J28" s="8">
        <v>2</v>
      </c>
      <c r="K28" s="18">
        <v>443600</v>
      </c>
      <c r="L28" s="8">
        <v>0</v>
      </c>
      <c r="M28" s="9">
        <v>0</v>
      </c>
      <c r="N28" s="8">
        <v>3</v>
      </c>
      <c r="O28" s="9">
        <v>2263060</v>
      </c>
      <c r="P28" s="8">
        <v>1</v>
      </c>
      <c r="Q28" s="9">
        <v>245140</v>
      </c>
      <c r="R28" s="8">
        <v>1</v>
      </c>
      <c r="S28" s="9">
        <v>202920</v>
      </c>
      <c r="T28" s="8">
        <v>0</v>
      </c>
      <c r="U28" s="9">
        <v>0</v>
      </c>
      <c r="V28" s="8">
        <v>2</v>
      </c>
      <c r="W28" s="9">
        <v>517220</v>
      </c>
      <c r="X28" s="8">
        <v>0</v>
      </c>
      <c r="Y28" s="9">
        <v>0</v>
      </c>
      <c r="Z28" s="8"/>
      <c r="AA28" s="9">
        <v>0</v>
      </c>
      <c r="AB28" s="8">
        <v>4</v>
      </c>
      <c r="AC28" s="9">
        <v>830680</v>
      </c>
      <c r="AD28" s="8">
        <v>11</v>
      </c>
      <c r="AE28" s="9">
        <v>3355980</v>
      </c>
      <c r="AF28" s="8">
        <v>1</v>
      </c>
      <c r="AG28" s="9">
        <v>216700</v>
      </c>
    </row>
    <row r="29" spans="1:33" ht="20.25" x14ac:dyDescent="0.25">
      <c r="A29" s="45">
        <v>46048</v>
      </c>
      <c r="B29" s="43">
        <f t="shared" si="0"/>
        <v>134</v>
      </c>
      <c r="C29" s="44">
        <f t="shared" si="1"/>
        <v>34012060</v>
      </c>
      <c r="D29" s="8">
        <v>9</v>
      </c>
      <c r="E29" s="9">
        <v>2302610</v>
      </c>
      <c r="F29" s="61">
        <v>3</v>
      </c>
      <c r="G29" s="9">
        <v>601400</v>
      </c>
      <c r="H29" s="8">
        <v>65</v>
      </c>
      <c r="I29" s="9">
        <v>13208090</v>
      </c>
      <c r="J29" s="8">
        <v>2</v>
      </c>
      <c r="K29" s="9">
        <v>591710</v>
      </c>
      <c r="L29" s="8">
        <v>0</v>
      </c>
      <c r="M29" s="9">
        <v>0</v>
      </c>
      <c r="N29" s="8">
        <v>8</v>
      </c>
      <c r="O29" s="18">
        <v>5788530</v>
      </c>
      <c r="P29" s="8">
        <v>1</v>
      </c>
      <c r="Q29" s="9">
        <v>245140</v>
      </c>
      <c r="R29" s="8">
        <v>0</v>
      </c>
      <c r="S29" s="9">
        <v>0</v>
      </c>
      <c r="T29" s="8">
        <v>0</v>
      </c>
      <c r="U29" s="9">
        <v>0</v>
      </c>
      <c r="V29" s="8">
        <v>10</v>
      </c>
      <c r="W29" s="9">
        <v>2359270</v>
      </c>
      <c r="X29" s="8">
        <v>0</v>
      </c>
      <c r="Y29" s="9">
        <v>0</v>
      </c>
      <c r="Z29" s="8">
        <v>2</v>
      </c>
      <c r="AA29" s="9">
        <v>422870</v>
      </c>
      <c r="AB29" s="8">
        <v>0</v>
      </c>
      <c r="AC29" s="9">
        <v>0</v>
      </c>
      <c r="AD29" s="8">
        <v>32</v>
      </c>
      <c r="AE29" s="9">
        <v>8122240</v>
      </c>
      <c r="AF29" s="8">
        <v>2</v>
      </c>
      <c r="AG29" s="9">
        <v>370200</v>
      </c>
    </row>
    <row r="30" spans="1:33" ht="20.25" x14ac:dyDescent="0.25">
      <c r="A30" s="42">
        <v>46049</v>
      </c>
      <c r="B30" s="43">
        <f t="shared" si="0"/>
        <v>137</v>
      </c>
      <c r="C30" s="44">
        <f t="shared" si="1"/>
        <v>34930800</v>
      </c>
      <c r="D30" s="8">
        <v>25</v>
      </c>
      <c r="E30" s="9">
        <v>6050170</v>
      </c>
      <c r="F30" s="61">
        <v>5</v>
      </c>
      <c r="G30" s="9">
        <v>837460</v>
      </c>
      <c r="H30" s="8">
        <v>56</v>
      </c>
      <c r="I30" s="9">
        <v>13534240</v>
      </c>
      <c r="J30" s="8">
        <v>0</v>
      </c>
      <c r="K30" s="9">
        <v>0</v>
      </c>
      <c r="L30" s="8">
        <v>0</v>
      </c>
      <c r="M30" s="9">
        <v>0</v>
      </c>
      <c r="N30" s="8">
        <v>7</v>
      </c>
      <c r="O30" s="9">
        <v>2586760</v>
      </c>
      <c r="P30" s="8">
        <v>3</v>
      </c>
      <c r="Q30" s="9">
        <v>786000</v>
      </c>
      <c r="R30" s="8">
        <v>0</v>
      </c>
      <c r="S30" s="9">
        <v>0</v>
      </c>
      <c r="T30" s="8">
        <v>2</v>
      </c>
      <c r="U30" s="9">
        <v>293310</v>
      </c>
      <c r="V30" s="8">
        <v>3</v>
      </c>
      <c r="W30" s="9">
        <v>514270</v>
      </c>
      <c r="X30" s="8">
        <v>0</v>
      </c>
      <c r="Y30" s="9">
        <v>0</v>
      </c>
      <c r="Z30" s="8">
        <v>14</v>
      </c>
      <c r="AA30" s="9">
        <v>3400880</v>
      </c>
      <c r="AB30" s="8">
        <v>1</v>
      </c>
      <c r="AC30" s="9">
        <v>202920</v>
      </c>
      <c r="AD30" s="8">
        <v>14</v>
      </c>
      <c r="AE30" s="9">
        <v>5366990</v>
      </c>
      <c r="AF30" s="8">
        <v>7</v>
      </c>
      <c r="AG30" s="9">
        <v>1357800</v>
      </c>
    </row>
    <row r="31" spans="1:33" ht="20.25" x14ac:dyDescent="0.25">
      <c r="A31" s="45">
        <v>46050</v>
      </c>
      <c r="B31" s="43">
        <f t="shared" si="0"/>
        <v>109</v>
      </c>
      <c r="C31" s="44">
        <f t="shared" si="1"/>
        <v>29743210</v>
      </c>
      <c r="D31" s="8">
        <v>9</v>
      </c>
      <c r="E31" s="9">
        <v>2245450</v>
      </c>
      <c r="F31" s="61">
        <v>1</v>
      </c>
      <c r="G31" s="9">
        <v>3268430</v>
      </c>
      <c r="H31" s="8">
        <v>33</v>
      </c>
      <c r="I31" s="9">
        <v>6324510</v>
      </c>
      <c r="J31" s="8">
        <v>0</v>
      </c>
      <c r="K31" s="9">
        <v>0</v>
      </c>
      <c r="L31" s="8">
        <v>0</v>
      </c>
      <c r="M31" s="9">
        <v>0</v>
      </c>
      <c r="N31" s="8">
        <v>20</v>
      </c>
      <c r="O31" s="9">
        <v>4611460</v>
      </c>
      <c r="P31" s="8">
        <v>1</v>
      </c>
      <c r="Q31" s="9">
        <v>348550</v>
      </c>
      <c r="R31" s="8">
        <v>0</v>
      </c>
      <c r="S31" s="9">
        <v>0</v>
      </c>
      <c r="T31" s="8">
        <v>12</v>
      </c>
      <c r="U31" s="9">
        <v>4311710</v>
      </c>
      <c r="V31" s="8">
        <v>0</v>
      </c>
      <c r="W31" s="9">
        <v>0</v>
      </c>
      <c r="X31" s="8">
        <v>0</v>
      </c>
      <c r="Y31" s="9">
        <v>0</v>
      </c>
      <c r="Z31" s="8">
        <v>16</v>
      </c>
      <c r="AA31" s="9">
        <v>3227010</v>
      </c>
      <c r="AB31" s="8">
        <v>6</v>
      </c>
      <c r="AC31" s="9">
        <v>1384420</v>
      </c>
      <c r="AD31" s="8">
        <v>10</v>
      </c>
      <c r="AE31" s="9">
        <v>3850200</v>
      </c>
      <c r="AF31" s="8">
        <v>1</v>
      </c>
      <c r="AG31" s="9">
        <v>171470</v>
      </c>
    </row>
    <row r="32" spans="1:33" ht="20.25" x14ac:dyDescent="0.25">
      <c r="A32" s="42">
        <v>46051</v>
      </c>
      <c r="B32" s="43">
        <f t="shared" si="0"/>
        <v>120</v>
      </c>
      <c r="C32" s="44">
        <f t="shared" si="1"/>
        <v>32552710</v>
      </c>
      <c r="D32" s="10">
        <v>9</v>
      </c>
      <c r="E32" s="9">
        <v>2793480</v>
      </c>
      <c r="F32" s="61">
        <v>3</v>
      </c>
      <c r="G32" s="9">
        <v>5954250</v>
      </c>
      <c r="H32" s="10">
        <v>33</v>
      </c>
      <c r="I32" s="9">
        <v>6564580</v>
      </c>
      <c r="J32" s="10">
        <v>3</v>
      </c>
      <c r="K32" s="11">
        <v>711260</v>
      </c>
      <c r="L32" s="10">
        <v>3</v>
      </c>
      <c r="M32" s="9">
        <v>743630</v>
      </c>
      <c r="N32" s="8">
        <v>11</v>
      </c>
      <c r="O32" s="9">
        <v>2664220</v>
      </c>
      <c r="P32" s="10">
        <v>2</v>
      </c>
      <c r="Q32" s="9">
        <v>465220</v>
      </c>
      <c r="R32" s="10">
        <v>0</v>
      </c>
      <c r="S32" s="11">
        <v>0</v>
      </c>
      <c r="T32" s="10">
        <v>2</v>
      </c>
      <c r="U32" s="9">
        <v>744000</v>
      </c>
      <c r="V32" s="10">
        <v>25</v>
      </c>
      <c r="W32" s="9">
        <v>5393330</v>
      </c>
      <c r="X32" s="10">
        <v>0</v>
      </c>
      <c r="Y32" s="9">
        <v>0</v>
      </c>
      <c r="Z32" s="10">
        <v>6</v>
      </c>
      <c r="AA32" s="11">
        <v>1426740</v>
      </c>
      <c r="AB32" s="10">
        <v>1</v>
      </c>
      <c r="AC32" s="11">
        <v>166120</v>
      </c>
      <c r="AD32" s="10">
        <v>20</v>
      </c>
      <c r="AE32" s="11">
        <v>4492480</v>
      </c>
      <c r="AF32" s="10">
        <v>2</v>
      </c>
      <c r="AG32" s="11">
        <v>433400</v>
      </c>
    </row>
    <row r="33" spans="1:33" ht="20.25" x14ac:dyDescent="0.25">
      <c r="A33" s="45">
        <v>46052</v>
      </c>
      <c r="B33" s="43">
        <f t="shared" si="0"/>
        <v>108</v>
      </c>
      <c r="C33" s="44">
        <f t="shared" si="1"/>
        <v>33002220</v>
      </c>
      <c r="D33" s="8">
        <v>3</v>
      </c>
      <c r="E33" s="9">
        <v>513360</v>
      </c>
      <c r="F33" s="62">
        <v>3</v>
      </c>
      <c r="G33" s="9">
        <v>769450</v>
      </c>
      <c r="H33" s="8">
        <v>42</v>
      </c>
      <c r="I33" s="9">
        <v>11833940</v>
      </c>
      <c r="J33" s="8">
        <v>0</v>
      </c>
      <c r="K33" s="9">
        <v>0</v>
      </c>
      <c r="L33" s="8">
        <v>3</v>
      </c>
      <c r="M33" s="9">
        <v>930500</v>
      </c>
      <c r="N33" s="8">
        <v>12</v>
      </c>
      <c r="O33" s="9">
        <v>4412100</v>
      </c>
      <c r="P33" s="8">
        <v>5</v>
      </c>
      <c r="Q33" s="9">
        <v>1463610</v>
      </c>
      <c r="R33" s="8">
        <v>0</v>
      </c>
      <c r="S33" s="9">
        <v>0</v>
      </c>
      <c r="T33" s="8">
        <v>1</v>
      </c>
      <c r="U33" s="9">
        <v>219710</v>
      </c>
      <c r="V33" s="8">
        <v>10</v>
      </c>
      <c r="W33" s="9">
        <v>1692780</v>
      </c>
      <c r="X33" s="8">
        <v>1</v>
      </c>
      <c r="Y33" s="9">
        <v>684940</v>
      </c>
      <c r="Z33" s="8">
        <v>5</v>
      </c>
      <c r="AA33" s="9">
        <v>1383570</v>
      </c>
      <c r="AB33" s="8">
        <v>0</v>
      </c>
      <c r="AC33" s="9">
        <v>0</v>
      </c>
      <c r="AD33" s="8">
        <v>23</v>
      </c>
      <c r="AE33" s="9">
        <v>9098260</v>
      </c>
      <c r="AF33" s="8">
        <v>0</v>
      </c>
      <c r="AG33" s="9">
        <v>0</v>
      </c>
    </row>
    <row r="34" spans="1:33" ht="21" thickBot="1" x14ac:dyDescent="0.3">
      <c r="A34" s="42">
        <v>46053</v>
      </c>
      <c r="B34" s="43">
        <f t="shared" si="0"/>
        <v>51</v>
      </c>
      <c r="C34" s="44">
        <f t="shared" si="1"/>
        <v>20202340</v>
      </c>
      <c r="D34" s="53">
        <v>19</v>
      </c>
      <c r="E34" s="57">
        <v>7490490</v>
      </c>
      <c r="F34" s="62">
        <v>5</v>
      </c>
      <c r="G34" s="54">
        <v>1537180</v>
      </c>
      <c r="H34" s="53">
        <v>9</v>
      </c>
      <c r="I34" s="54">
        <v>1766020</v>
      </c>
      <c r="J34" s="53">
        <v>0</v>
      </c>
      <c r="K34" s="54">
        <v>0</v>
      </c>
      <c r="L34" s="53">
        <v>0</v>
      </c>
      <c r="M34" s="54">
        <v>0</v>
      </c>
      <c r="N34" s="53">
        <v>5</v>
      </c>
      <c r="O34" s="54">
        <v>2234410</v>
      </c>
      <c r="P34" s="53">
        <v>0</v>
      </c>
      <c r="Q34" s="54">
        <v>0</v>
      </c>
      <c r="R34" s="53">
        <v>0</v>
      </c>
      <c r="S34" s="54">
        <v>0</v>
      </c>
      <c r="T34" s="53">
        <v>1</v>
      </c>
      <c r="U34" s="54">
        <v>232610</v>
      </c>
      <c r="V34" s="53">
        <v>0</v>
      </c>
      <c r="W34" s="54">
        <v>0</v>
      </c>
      <c r="X34" s="53">
        <v>0</v>
      </c>
      <c r="Y34" s="54">
        <v>0</v>
      </c>
      <c r="Z34" s="53">
        <v>2</v>
      </c>
      <c r="AA34" s="54">
        <v>514540</v>
      </c>
      <c r="AB34" s="53">
        <v>2</v>
      </c>
      <c r="AC34" s="54">
        <v>319390</v>
      </c>
      <c r="AD34" s="53">
        <v>6</v>
      </c>
      <c r="AE34" s="54">
        <v>3861950</v>
      </c>
      <c r="AF34" s="53">
        <v>2</v>
      </c>
      <c r="AG34" s="57">
        <v>2245750</v>
      </c>
    </row>
    <row r="35" spans="1:33" s="15" customFormat="1" ht="24" thickBot="1" x14ac:dyDescent="0.3">
      <c r="A35" s="52" t="s">
        <v>1</v>
      </c>
      <c r="B35" s="17">
        <f>SUM(B4:B34)</f>
        <v>2604</v>
      </c>
      <c r="C35" s="34">
        <f>SUM(C4:C34)</f>
        <v>711328490</v>
      </c>
      <c r="D35" s="17">
        <f>SUM(D4:D34)</f>
        <v>393</v>
      </c>
      <c r="E35" s="58">
        <f>SUM(E4:E34)</f>
        <v>128161410</v>
      </c>
      <c r="F35" s="63">
        <f t="shared" ref="F35:K35" si="2">SUM(F4:F34)</f>
        <v>159</v>
      </c>
      <c r="G35" s="34">
        <f t="shared" si="2"/>
        <v>54581230</v>
      </c>
      <c r="H35" s="17">
        <f t="shared" si="2"/>
        <v>573</v>
      </c>
      <c r="I35" s="34">
        <f t="shared" si="2"/>
        <v>127638850</v>
      </c>
      <c r="J35" s="17">
        <f t="shared" si="2"/>
        <v>60</v>
      </c>
      <c r="K35" s="34">
        <f t="shared" si="2"/>
        <v>11090840</v>
      </c>
      <c r="L35" s="17">
        <f t="shared" ref="L35" si="3">SUM(L4:L34)</f>
        <v>68</v>
      </c>
      <c r="M35" s="34">
        <f t="shared" ref="M35" si="4">SUM(M4:M34)</f>
        <v>14072500</v>
      </c>
      <c r="N35" s="17">
        <f t="shared" ref="N35" si="5">SUM(N4:N34)</f>
        <v>212</v>
      </c>
      <c r="O35" s="34">
        <f t="shared" ref="O35:Q35" si="6">SUM(O4:O34)</f>
        <v>75296380</v>
      </c>
      <c r="P35" s="17">
        <f t="shared" si="6"/>
        <v>90</v>
      </c>
      <c r="Q35" s="34">
        <f t="shared" si="6"/>
        <v>21169260</v>
      </c>
      <c r="R35" s="17">
        <f t="shared" ref="R35" si="7">SUM(R4:R34)</f>
        <v>40</v>
      </c>
      <c r="S35" s="34">
        <f t="shared" ref="S35" si="8">SUM(S4:S34)</f>
        <v>10032280</v>
      </c>
      <c r="T35" s="17">
        <f t="shared" ref="T35" si="9">SUM(T4:T34)</f>
        <v>144</v>
      </c>
      <c r="U35" s="34">
        <f t="shared" ref="U35:W35" si="10">SUM(U4:U34)</f>
        <v>29875380</v>
      </c>
      <c r="V35" s="17">
        <f t="shared" si="10"/>
        <v>142</v>
      </c>
      <c r="W35" s="34">
        <f t="shared" si="10"/>
        <v>29047220</v>
      </c>
      <c r="X35" s="17">
        <f t="shared" ref="X35" si="11">SUM(X4:X34)</f>
        <v>6</v>
      </c>
      <c r="Y35" s="34">
        <f t="shared" ref="Y35" si="12">SUM(Y4:Y34)</f>
        <v>2519510</v>
      </c>
      <c r="Z35" s="17">
        <f t="shared" ref="Z35" si="13">SUM(Z4:Z34)</f>
        <v>111</v>
      </c>
      <c r="AA35" s="34">
        <f t="shared" ref="AA35:AC35" si="14">SUM(AA4:AA34)</f>
        <v>23775260</v>
      </c>
      <c r="AB35" s="17">
        <f t="shared" si="14"/>
        <v>81</v>
      </c>
      <c r="AC35" s="34">
        <f t="shared" si="14"/>
        <v>18504850</v>
      </c>
      <c r="AD35" s="17">
        <f t="shared" ref="AD35" si="15">SUM(AD4:AD34)</f>
        <v>432</v>
      </c>
      <c r="AE35" s="34">
        <f t="shared" ref="AE35" si="16">SUM(AE4:AE34)</f>
        <v>145134680</v>
      </c>
      <c r="AF35" s="17">
        <f t="shared" ref="AF35" si="17">SUM(AF4:AF34)</f>
        <v>93</v>
      </c>
      <c r="AG35" s="58">
        <f t="shared" ref="AG35" si="18">SUM(AG4:AG34)</f>
        <v>20428840</v>
      </c>
    </row>
    <row r="36" spans="1:33" x14ac:dyDescent="0.25">
      <c r="B36" s="2"/>
      <c r="D36" s="2"/>
    </row>
    <row r="37" spans="1:33" x14ac:dyDescent="0.25">
      <c r="B37" s="2"/>
    </row>
  </sheetData>
  <mergeCells count="18">
    <mergeCell ref="A1:A3"/>
    <mergeCell ref="B1:C2"/>
    <mergeCell ref="D2:E2"/>
    <mergeCell ref="H2:I2"/>
    <mergeCell ref="J2:K2"/>
    <mergeCell ref="P2:Q2"/>
    <mergeCell ref="R2:S2"/>
    <mergeCell ref="AD2:AE2"/>
    <mergeCell ref="D1:AG1"/>
    <mergeCell ref="AF2:AG2"/>
    <mergeCell ref="Z2:AA2"/>
    <mergeCell ref="AB2:AC2"/>
    <mergeCell ref="T2:U2"/>
    <mergeCell ref="V2:W2"/>
    <mergeCell ref="X2:Y2"/>
    <mergeCell ref="L2:M2"/>
    <mergeCell ref="N2:O2"/>
    <mergeCell ref="F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topLeftCell="A7" zoomScale="70" zoomScaleNormal="70" workbookViewId="0">
      <selection activeCell="A18" sqref="A18:XFD18"/>
    </sheetView>
  </sheetViews>
  <sheetFormatPr defaultRowHeight="18.75" x14ac:dyDescent="0.25"/>
  <cols>
    <col min="1" max="1" width="4.28515625" style="1" bestFit="1" customWidth="1"/>
    <col min="2" max="2" width="26.28515625" bestFit="1" customWidth="1"/>
    <col min="3" max="3" width="15.28515625" style="26" bestFit="1" customWidth="1"/>
    <col min="4" max="4" width="25.7109375" bestFit="1" customWidth="1"/>
  </cols>
  <sheetData>
    <row r="1" spans="1:4" ht="74.25" customHeight="1" x14ac:dyDescent="0.25">
      <c r="A1" s="107" t="s">
        <v>31</v>
      </c>
      <c r="B1" s="108"/>
      <c r="C1" s="108"/>
      <c r="D1" s="109"/>
    </row>
    <row r="2" spans="1:4" x14ac:dyDescent="0.25">
      <c r="A2" s="24" t="s">
        <v>28</v>
      </c>
      <c r="B2" s="24" t="s">
        <v>22</v>
      </c>
      <c r="C2" s="25" t="s">
        <v>3</v>
      </c>
      <c r="D2" s="25" t="s">
        <v>4</v>
      </c>
    </row>
    <row r="3" spans="1:4" s="22" customFormat="1" x14ac:dyDescent="0.25">
      <c r="A3" s="27">
        <v>1</v>
      </c>
      <c r="B3" s="20" t="s">
        <v>17</v>
      </c>
      <c r="C3" s="21">
        <f>Худудлар!AD35</f>
        <v>432</v>
      </c>
      <c r="D3" s="21">
        <f>Худудлар!AE35</f>
        <v>145134680</v>
      </c>
    </row>
    <row r="4" spans="1:4" s="22" customFormat="1" x14ac:dyDescent="0.25">
      <c r="A4" s="27">
        <v>2</v>
      </c>
      <c r="B4" s="20" t="s">
        <v>23</v>
      </c>
      <c r="C4" s="21">
        <f>Худудлар!D35</f>
        <v>393</v>
      </c>
      <c r="D4" s="21">
        <f>Худудлар!E35</f>
        <v>128161410</v>
      </c>
    </row>
    <row r="5" spans="1:4" s="22" customFormat="1" x14ac:dyDescent="0.25">
      <c r="A5" s="27">
        <v>3</v>
      </c>
      <c r="B5" s="20" t="s">
        <v>24</v>
      </c>
      <c r="C5" s="21">
        <f>Худудлар!H35</f>
        <v>573</v>
      </c>
      <c r="D5" s="21">
        <f>Худудлар!I35</f>
        <v>127638850</v>
      </c>
    </row>
    <row r="6" spans="1:4" s="22" customFormat="1" x14ac:dyDescent="0.25">
      <c r="A6" s="27">
        <v>4</v>
      </c>
      <c r="B6" s="20" t="s">
        <v>9</v>
      </c>
      <c r="C6" s="21">
        <f>Худудлар!N35</f>
        <v>212</v>
      </c>
      <c r="D6" s="21">
        <f>Худудлар!O35</f>
        <v>75296380</v>
      </c>
    </row>
    <row r="7" spans="1:4" s="22" customFormat="1" x14ac:dyDescent="0.25">
      <c r="A7" s="27">
        <v>5</v>
      </c>
      <c r="B7" s="20" t="s">
        <v>21</v>
      </c>
      <c r="C7" s="21">
        <f>Худудлар!F35</f>
        <v>159</v>
      </c>
      <c r="D7" s="21">
        <f>Худудлар!G35</f>
        <v>54581230</v>
      </c>
    </row>
    <row r="8" spans="1:4" s="22" customFormat="1" x14ac:dyDescent="0.25">
      <c r="A8" s="27">
        <v>6</v>
      </c>
      <c r="B8" s="20" t="s">
        <v>12</v>
      </c>
      <c r="C8" s="21">
        <f>Худудлар!T35</f>
        <v>144</v>
      </c>
      <c r="D8" s="21">
        <f>Худудлар!U35</f>
        <v>29875380</v>
      </c>
    </row>
    <row r="9" spans="1:4" s="22" customFormat="1" x14ac:dyDescent="0.25">
      <c r="A9" s="27">
        <v>7</v>
      </c>
      <c r="B9" s="20" t="s">
        <v>27</v>
      </c>
      <c r="C9" s="21">
        <f>Худудлар!V35</f>
        <v>142</v>
      </c>
      <c r="D9" s="21">
        <f>Худудлар!W35</f>
        <v>29047220</v>
      </c>
    </row>
    <row r="10" spans="1:4" s="22" customFormat="1" x14ac:dyDescent="0.25">
      <c r="A10" s="27">
        <v>8</v>
      </c>
      <c r="B10" s="20" t="s">
        <v>15</v>
      </c>
      <c r="C10" s="21">
        <f>Худудлар!Z35</f>
        <v>111</v>
      </c>
      <c r="D10" s="21">
        <f>Худудлар!AA35</f>
        <v>23775260</v>
      </c>
    </row>
    <row r="11" spans="1:4" s="22" customFormat="1" x14ac:dyDescent="0.25">
      <c r="A11" s="27">
        <v>9</v>
      </c>
      <c r="B11" s="20" t="s">
        <v>25</v>
      </c>
      <c r="C11" s="21">
        <f>Худудлар!P35</f>
        <v>90</v>
      </c>
      <c r="D11" s="21">
        <f>Худудлар!Q35</f>
        <v>21169260</v>
      </c>
    </row>
    <row r="12" spans="1:4" s="22" customFormat="1" x14ac:dyDescent="0.25">
      <c r="A12" s="27">
        <v>10</v>
      </c>
      <c r="B12" s="20" t="s">
        <v>18</v>
      </c>
      <c r="C12" s="21">
        <f>Худудлар!AF35</f>
        <v>93</v>
      </c>
      <c r="D12" s="21">
        <f>Худудлар!AG35</f>
        <v>20428840</v>
      </c>
    </row>
    <row r="13" spans="1:4" s="22" customFormat="1" x14ac:dyDescent="0.25">
      <c r="A13" s="27">
        <v>11</v>
      </c>
      <c r="B13" s="20" t="s">
        <v>16</v>
      </c>
      <c r="C13" s="21">
        <f>Худудлар!AB35</f>
        <v>81</v>
      </c>
      <c r="D13" s="21">
        <f>Худудлар!AC35</f>
        <v>18504850</v>
      </c>
    </row>
    <row r="14" spans="1:4" s="22" customFormat="1" x14ac:dyDescent="0.25">
      <c r="A14" s="27">
        <v>12</v>
      </c>
      <c r="B14" s="20" t="s">
        <v>8</v>
      </c>
      <c r="C14" s="21">
        <f>Худудлар!L35</f>
        <v>68</v>
      </c>
      <c r="D14" s="21">
        <f>Худудлар!M35</f>
        <v>14072500</v>
      </c>
    </row>
    <row r="15" spans="1:4" s="22" customFormat="1" x14ac:dyDescent="0.25">
      <c r="A15" s="27">
        <v>13</v>
      </c>
      <c r="B15" s="20" t="s">
        <v>7</v>
      </c>
      <c r="C15" s="21">
        <f>Худудлар!J35</f>
        <v>60</v>
      </c>
      <c r="D15" s="21">
        <f>Худудлар!K35</f>
        <v>11090840</v>
      </c>
    </row>
    <row r="16" spans="1:4" s="22" customFormat="1" x14ac:dyDescent="0.25">
      <c r="A16" s="27">
        <v>14</v>
      </c>
      <c r="B16" s="23" t="s">
        <v>11</v>
      </c>
      <c r="C16" s="21">
        <f>Худудлар!R35</f>
        <v>40</v>
      </c>
      <c r="D16" s="21">
        <f>Худудлар!S35</f>
        <v>10032280</v>
      </c>
    </row>
    <row r="17" spans="1:4" x14ac:dyDescent="0.25">
      <c r="A17" s="27">
        <v>15</v>
      </c>
      <c r="B17" s="51" t="s">
        <v>26</v>
      </c>
      <c r="C17" s="21">
        <f>Худудлар!X35</f>
        <v>6</v>
      </c>
      <c r="D17" s="21">
        <f>Худудлар!Y35</f>
        <v>2519510</v>
      </c>
    </row>
    <row r="18" spans="1:4" hidden="1" x14ac:dyDescent="0.25">
      <c r="A18" s="27"/>
      <c r="B18" s="51"/>
      <c r="C18" s="21"/>
      <c r="D18" s="21"/>
    </row>
    <row r="19" spans="1:4" ht="20.25" x14ac:dyDescent="0.3">
      <c r="A19" s="50" t="s">
        <v>29</v>
      </c>
      <c r="B19" s="50"/>
      <c r="C19" s="47">
        <f>SUM(C3:C17)</f>
        <v>2604</v>
      </c>
      <c r="D19" s="48">
        <f>SUM(D3:D17)</f>
        <v>711328490</v>
      </c>
    </row>
    <row r="20" spans="1:4" s="22" customFormat="1" ht="15" x14ac:dyDescent="0.25"/>
    <row r="21" spans="1:4" ht="73.5" customHeight="1" x14ac:dyDescent="0.25">
      <c r="A21" s="107" t="s">
        <v>32</v>
      </c>
      <c r="B21" s="108"/>
      <c r="C21" s="108"/>
      <c r="D21" s="109"/>
    </row>
    <row r="22" spans="1:4" ht="43.5" customHeight="1" x14ac:dyDescent="0.25">
      <c r="A22" s="24" t="s">
        <v>28</v>
      </c>
      <c r="B22" s="24" t="s">
        <v>22</v>
      </c>
      <c r="C22" s="25" t="s">
        <v>3</v>
      </c>
      <c r="D22" s="25" t="s">
        <v>4</v>
      </c>
    </row>
    <row r="23" spans="1:4" x14ac:dyDescent="0.25">
      <c r="A23" s="27">
        <v>1</v>
      </c>
      <c r="B23" s="20" t="s">
        <v>24</v>
      </c>
      <c r="C23" s="21">
        <f>Худудлар!H35</f>
        <v>573</v>
      </c>
      <c r="D23" s="21">
        <f>Худудлар!I35</f>
        <v>127638850</v>
      </c>
    </row>
    <row r="24" spans="1:4" x14ac:dyDescent="0.25">
      <c r="A24" s="27">
        <v>2</v>
      </c>
      <c r="B24" s="20" t="s">
        <v>17</v>
      </c>
      <c r="C24" s="21">
        <f>Худудлар!AD35</f>
        <v>432</v>
      </c>
      <c r="D24" s="21">
        <f>Худудлар!AE35</f>
        <v>145134680</v>
      </c>
    </row>
    <row r="25" spans="1:4" x14ac:dyDescent="0.25">
      <c r="A25" s="27">
        <v>3</v>
      </c>
      <c r="B25" s="20" t="s">
        <v>23</v>
      </c>
      <c r="C25" s="21">
        <f>Худудлар!D35</f>
        <v>393</v>
      </c>
      <c r="D25" s="21">
        <f>Худудлар!E35</f>
        <v>128161410</v>
      </c>
    </row>
    <row r="26" spans="1:4" x14ac:dyDescent="0.25">
      <c r="A26" s="27">
        <v>4</v>
      </c>
      <c r="B26" s="20" t="s">
        <v>9</v>
      </c>
      <c r="C26" s="21">
        <f>Худудлар!N35</f>
        <v>212</v>
      </c>
      <c r="D26" s="21">
        <f>Худудлар!O35</f>
        <v>75296380</v>
      </c>
    </row>
    <row r="27" spans="1:4" x14ac:dyDescent="0.25">
      <c r="A27" s="27">
        <v>5</v>
      </c>
      <c r="B27" s="20" t="s">
        <v>21</v>
      </c>
      <c r="C27" s="21">
        <f>Худудлар!F35</f>
        <v>159</v>
      </c>
      <c r="D27" s="21">
        <f>Худудлар!G35</f>
        <v>54581230</v>
      </c>
    </row>
    <row r="28" spans="1:4" x14ac:dyDescent="0.25">
      <c r="A28" s="27">
        <v>6</v>
      </c>
      <c r="B28" s="20" t="s">
        <v>12</v>
      </c>
      <c r="C28" s="21">
        <f>Худудлар!T35</f>
        <v>144</v>
      </c>
      <c r="D28" s="21">
        <f>Худудлар!U35</f>
        <v>29875380</v>
      </c>
    </row>
    <row r="29" spans="1:4" x14ac:dyDescent="0.25">
      <c r="A29" s="27">
        <v>7</v>
      </c>
      <c r="B29" s="20" t="s">
        <v>27</v>
      </c>
      <c r="C29" s="21">
        <f>Худудлар!V35</f>
        <v>142</v>
      </c>
      <c r="D29" s="21">
        <f>Худудлар!W35</f>
        <v>29047220</v>
      </c>
    </row>
    <row r="30" spans="1:4" x14ac:dyDescent="0.25">
      <c r="A30" s="27">
        <v>8</v>
      </c>
      <c r="B30" s="20" t="s">
        <v>15</v>
      </c>
      <c r="C30" s="21">
        <f>Худудлар!Z35</f>
        <v>111</v>
      </c>
      <c r="D30" s="21">
        <f>Худудлар!AA35</f>
        <v>23775260</v>
      </c>
    </row>
    <row r="31" spans="1:4" x14ac:dyDescent="0.25">
      <c r="A31" s="27">
        <v>9</v>
      </c>
      <c r="B31" s="20" t="s">
        <v>18</v>
      </c>
      <c r="C31" s="21">
        <f>Худудлар!AF35</f>
        <v>93</v>
      </c>
      <c r="D31" s="21">
        <f>Худудлар!AG35</f>
        <v>20428840</v>
      </c>
    </row>
    <row r="32" spans="1:4" x14ac:dyDescent="0.25">
      <c r="A32" s="27">
        <v>10</v>
      </c>
      <c r="B32" s="20" t="s">
        <v>25</v>
      </c>
      <c r="C32" s="21">
        <f>Худудлар!P35</f>
        <v>90</v>
      </c>
      <c r="D32" s="21">
        <f>Худудлар!Q35</f>
        <v>21169260</v>
      </c>
    </row>
    <row r="33" spans="1:4" x14ac:dyDescent="0.25">
      <c r="A33" s="27">
        <v>11</v>
      </c>
      <c r="B33" s="20" t="s">
        <v>16</v>
      </c>
      <c r="C33" s="21">
        <f>Худудлар!AB35</f>
        <v>81</v>
      </c>
      <c r="D33" s="21">
        <f>Худудлар!AC35</f>
        <v>18504850</v>
      </c>
    </row>
    <row r="34" spans="1:4" x14ac:dyDescent="0.25">
      <c r="A34" s="27">
        <v>12</v>
      </c>
      <c r="B34" s="20" t="s">
        <v>8</v>
      </c>
      <c r="C34" s="21">
        <f>Худудлар!L35</f>
        <v>68</v>
      </c>
      <c r="D34" s="21">
        <f>Худудлар!M35</f>
        <v>14072500</v>
      </c>
    </row>
    <row r="35" spans="1:4" x14ac:dyDescent="0.25">
      <c r="A35" s="27">
        <v>13</v>
      </c>
      <c r="B35" s="23" t="s">
        <v>7</v>
      </c>
      <c r="C35" s="21">
        <f>Худудлар!J35</f>
        <v>60</v>
      </c>
      <c r="D35" s="21">
        <f>Худудлар!K35</f>
        <v>11090840</v>
      </c>
    </row>
    <row r="36" spans="1:4" x14ac:dyDescent="0.25">
      <c r="A36" s="27">
        <v>14</v>
      </c>
      <c r="B36" s="20" t="s">
        <v>11</v>
      </c>
      <c r="C36" s="21">
        <f>Худудлар!R35</f>
        <v>40</v>
      </c>
      <c r="D36" s="21">
        <f>Худудлар!S35</f>
        <v>10032280</v>
      </c>
    </row>
    <row r="37" spans="1:4" x14ac:dyDescent="0.25">
      <c r="A37" s="27">
        <v>15</v>
      </c>
      <c r="B37" s="20" t="s">
        <v>26</v>
      </c>
      <c r="C37" s="21">
        <f>Худудлар!X35</f>
        <v>6</v>
      </c>
      <c r="D37" s="21">
        <f>Худудлар!Y35</f>
        <v>2519510</v>
      </c>
    </row>
    <row r="38" spans="1:4" ht="20.25" x14ac:dyDescent="0.3">
      <c r="A38" s="49" t="s">
        <v>29</v>
      </c>
      <c r="B38" s="46"/>
      <c r="C38" s="47">
        <f>SUM(C23:C37)</f>
        <v>2604</v>
      </c>
      <c r="D38" s="48">
        <f>SUM(D23:D37)</f>
        <v>711328490</v>
      </c>
    </row>
  </sheetData>
  <sortState xmlns:xlrd2="http://schemas.microsoft.com/office/spreadsheetml/2017/richdata2" ref="A23:D37">
    <sortCondition descending="1" ref="C23:C37"/>
  </sortState>
  <mergeCells count="2">
    <mergeCell ref="A1:D1"/>
    <mergeCell ref="A21:D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Жами</vt:lpstr>
      <vt:lpstr>Худудлар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2026-02-16T07:50:23Z</dcterms:modified>
</cp:coreProperties>
</file>