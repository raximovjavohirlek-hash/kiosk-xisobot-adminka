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K\Desktop\123\Отчёт\ИНФОКИОСКА\2026\"/>
    </mc:Choice>
  </mc:AlternateContent>
  <xr:revisionPtr revIDLastSave="0" documentId="13_ncr:1_{2D175602-9199-4A6E-8526-09DF1EDD182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Май-Июнь" sheetId="4" r:id="rId1"/>
    <sheet name="Май-Июнь чипта сони" sheetId="5" r:id="rId2"/>
    <sheet name="Сумма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C9" i="6"/>
  <c r="B19" i="5" l="1"/>
</calcChain>
</file>

<file path=xl/sharedStrings.xml><?xml version="1.0" encoding="utf-8"?>
<sst xmlns="http://schemas.openxmlformats.org/spreadsheetml/2006/main" count="51" uniqueCount="33">
  <si>
    <t>Жами</t>
  </si>
  <si>
    <t>Худуд</t>
  </si>
  <si>
    <t>Тошкент Жанубий</t>
  </si>
  <si>
    <t>Навои</t>
  </si>
  <si>
    <t>Бухоро</t>
  </si>
  <si>
    <t>Нукус</t>
  </si>
  <si>
    <t>Хива</t>
  </si>
  <si>
    <t>Карши</t>
  </si>
  <si>
    <t>Андижон</t>
  </si>
  <si>
    <t>Қўқон</t>
  </si>
  <si>
    <t>Марғилон</t>
  </si>
  <si>
    <t>Наманган</t>
  </si>
  <si>
    <t>Самарқанд</t>
  </si>
  <si>
    <t>Тошкент Шимолий</t>
  </si>
  <si>
    <t>Термиз</t>
  </si>
  <si>
    <t>Қўнғрод</t>
  </si>
  <si>
    <t>Урганч</t>
  </si>
  <si>
    <t>Май (чипта сони</t>
  </si>
  <si>
    <t>Июнь (чипта сони</t>
  </si>
  <si>
    <t>Май (СУММА</t>
  </si>
  <si>
    <t>Июнь (СУММА</t>
  </si>
  <si>
    <t>Май ва Июнь ойларидаги 21 кунлик
 сотув фарқи (СУММА)</t>
  </si>
  <si>
    <t>Май ва Июнь ойларидаги 21 кунлик
 сотув фарқи (Чипталар сони)</t>
  </si>
  <si>
    <t>Сон</t>
  </si>
  <si>
    <t>Сумма</t>
  </si>
  <si>
    <t>Январь</t>
  </si>
  <si>
    <t>Февраль</t>
  </si>
  <si>
    <t>Март</t>
  </si>
  <si>
    <t>Апрель</t>
  </si>
  <si>
    <t>Май</t>
  </si>
  <si>
    <t>Июнь</t>
  </si>
  <si>
    <t>Ой</t>
  </si>
  <si>
    <t>Инфокиоскалардан 6 ой давомида сотилган
 чипталар тўғрисида маълумот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</si>
</sst>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\ _₽;\-#,##0\ _₽"/>
    <numFmt numFmtId="165" formatCode="#,##0\ _₽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3" fillId="0" borderId="0" xfId="3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5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6">
    <cellStyle name="Обычный" xfId="0" builtinId="0"/>
    <cellStyle name="Обычный 2" xfId="1" xr:uid="{18B8163B-1D72-4B52-811B-4A1783136102}"/>
    <cellStyle name="Обычный 3" xfId="5" xr:uid="{6A0EC521-39E3-44EC-95ED-9CF9C02912DA}"/>
    <cellStyle name="Процентный" xfId="3" builtinId="5"/>
    <cellStyle name="Финансовый 2" xfId="2" xr:uid="{0EB2009F-315D-4400-BDAB-1354A69B1ED6}"/>
    <cellStyle name="Финансовый 3" xfId="4" xr:uid="{004C1790-B39D-4D8B-A59D-CD28F1B6A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Май ва Июнь ойларидаги 21 кунлик</a:t>
            </a:r>
          </a:p>
          <a:p>
            <a:pPr>
              <a:defRPr/>
            </a:pPr>
            <a:r>
              <a:rPr lang="ru-RU"/>
              <a:t> сотув фарқи (СУММА)</a:t>
            </a:r>
          </a:p>
        </c:rich>
      </c:tx>
      <c:layout>
        <c:manualLayout>
          <c:xMode val="edge"/>
          <c:yMode val="edge"/>
          <c:x val="0.42296861610247438"/>
          <c:y val="1.0731052984574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'Май-Июнь'!$B$2</c:f>
              <c:strCache>
                <c:ptCount val="1"/>
                <c:pt idx="0">
                  <c:v>Май (СУММА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'Май-Июнь'!$A$3:$A$18</c:f>
              <c:strCache>
                <c:ptCount val="16"/>
                <c:pt idx="1">
                  <c:v>Самарқанд</c:v>
                </c:pt>
                <c:pt idx="2">
                  <c:v>Тошкент Шимолий</c:v>
                </c:pt>
                <c:pt idx="3">
                  <c:v>Бухоро</c:v>
                </c:pt>
                <c:pt idx="4">
                  <c:v>Нукус</c:v>
                </c:pt>
                <c:pt idx="5">
                  <c:v>Термиз</c:v>
                </c:pt>
                <c:pt idx="6">
                  <c:v>Марғилон</c:v>
                </c:pt>
                <c:pt idx="7">
                  <c:v>Қўнғрод</c:v>
                </c:pt>
                <c:pt idx="8">
                  <c:v>Карши</c:v>
                </c:pt>
                <c:pt idx="9">
                  <c:v>Тошкент Жанубий</c:v>
                </c:pt>
                <c:pt idx="10">
                  <c:v>Андижон</c:v>
                </c:pt>
                <c:pt idx="11">
                  <c:v>Қўқон</c:v>
                </c:pt>
                <c:pt idx="12">
                  <c:v>Урганч</c:v>
                </c:pt>
                <c:pt idx="13">
                  <c:v>Хива</c:v>
                </c:pt>
                <c:pt idx="14">
                  <c:v>Наманган</c:v>
                </c:pt>
                <c:pt idx="15">
                  <c:v>Навои</c:v>
                </c:pt>
              </c:strCache>
            </c:strRef>
          </c:cat>
          <c:val>
            <c:numRef>
              <c:f>'Май-Июнь'!$B$3:$B$18</c:f>
              <c:numCache>
                <c:formatCode>#\ ##0\ _₽;\-#\ ##0\ _₽</c:formatCode>
                <c:ptCount val="16"/>
                <c:pt idx="1">
                  <c:v>131908360</c:v>
                </c:pt>
                <c:pt idx="2">
                  <c:v>100335460</c:v>
                </c:pt>
                <c:pt idx="3">
                  <c:v>59792300</c:v>
                </c:pt>
                <c:pt idx="4">
                  <c:v>54438420</c:v>
                </c:pt>
                <c:pt idx="5">
                  <c:v>29427300</c:v>
                </c:pt>
                <c:pt idx="6">
                  <c:v>29686510</c:v>
                </c:pt>
                <c:pt idx="7">
                  <c:v>24919600</c:v>
                </c:pt>
                <c:pt idx="8">
                  <c:v>15496480</c:v>
                </c:pt>
                <c:pt idx="9">
                  <c:v>15785240</c:v>
                </c:pt>
                <c:pt idx="10">
                  <c:v>17094980</c:v>
                </c:pt>
                <c:pt idx="11">
                  <c:v>13116000</c:v>
                </c:pt>
                <c:pt idx="12">
                  <c:v>8439620</c:v>
                </c:pt>
                <c:pt idx="13">
                  <c:v>6501840</c:v>
                </c:pt>
                <c:pt idx="14">
                  <c:v>3412420</c:v>
                </c:pt>
                <c:pt idx="15">
                  <c:v>2955370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5-4FFC-8996-669E38EA6914}"/>
            </c:ext>
          </c:extLst>
        </c:ser>
        <c:ser>
          <c:idx val="1"/>
          <c:order val="1"/>
          <c:tx>
            <c:strRef>
              <c:f>'Май-Июнь'!$C$2</c:f>
              <c:strCache>
                <c:ptCount val="1"/>
                <c:pt idx="0">
                  <c:v>Июнь (СУММА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'Май-Июнь'!$A$3:$A$18</c:f>
              <c:strCache>
                <c:ptCount val="16"/>
                <c:pt idx="1">
                  <c:v>Самарқанд</c:v>
                </c:pt>
                <c:pt idx="2">
                  <c:v>Тошкент Шимолий</c:v>
                </c:pt>
                <c:pt idx="3">
                  <c:v>Бухоро</c:v>
                </c:pt>
                <c:pt idx="4">
                  <c:v>Нукус</c:v>
                </c:pt>
                <c:pt idx="5">
                  <c:v>Термиз</c:v>
                </c:pt>
                <c:pt idx="6">
                  <c:v>Марғилон</c:v>
                </c:pt>
                <c:pt idx="7">
                  <c:v>Қўнғрод</c:v>
                </c:pt>
                <c:pt idx="8">
                  <c:v>Карши</c:v>
                </c:pt>
                <c:pt idx="9">
                  <c:v>Тошкент Жанубий</c:v>
                </c:pt>
                <c:pt idx="10">
                  <c:v>Андижон</c:v>
                </c:pt>
                <c:pt idx="11">
                  <c:v>Қўқон</c:v>
                </c:pt>
                <c:pt idx="12">
                  <c:v>Урганч</c:v>
                </c:pt>
                <c:pt idx="13">
                  <c:v>Хива</c:v>
                </c:pt>
                <c:pt idx="14">
                  <c:v>Наманган</c:v>
                </c:pt>
                <c:pt idx="15">
                  <c:v>Навои</c:v>
                </c:pt>
              </c:strCache>
            </c:strRef>
          </c:cat>
          <c:val>
            <c:numRef>
              <c:f>'Май-Июнь'!$C$3:$C$18</c:f>
              <c:numCache>
                <c:formatCode>#\ ##0\ _₽;\-#\ ##0\ _₽</c:formatCode>
                <c:ptCount val="16"/>
                <c:pt idx="1">
                  <c:v>219807840</c:v>
                </c:pt>
                <c:pt idx="2">
                  <c:v>76797170</c:v>
                </c:pt>
                <c:pt idx="3">
                  <c:v>176222410</c:v>
                </c:pt>
                <c:pt idx="4">
                  <c:v>72146930</c:v>
                </c:pt>
                <c:pt idx="5">
                  <c:v>34658640</c:v>
                </c:pt>
                <c:pt idx="6">
                  <c:v>45177590</c:v>
                </c:pt>
                <c:pt idx="7">
                  <c:v>41082540</c:v>
                </c:pt>
                <c:pt idx="8">
                  <c:v>62101860</c:v>
                </c:pt>
                <c:pt idx="9">
                  <c:v>88507970</c:v>
                </c:pt>
                <c:pt idx="10">
                  <c:v>72775130</c:v>
                </c:pt>
                <c:pt idx="11">
                  <c:v>43930850</c:v>
                </c:pt>
                <c:pt idx="12">
                  <c:v>36434120</c:v>
                </c:pt>
                <c:pt idx="13">
                  <c:v>13779720</c:v>
                </c:pt>
                <c:pt idx="14">
                  <c:v>24296400</c:v>
                </c:pt>
                <c:pt idx="15">
                  <c:v>4014160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5-4FFC-8996-669E38EA6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5364719"/>
        <c:axId val="85368079"/>
      </c:barChart>
      <c:catAx>
        <c:axId val="8536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368079"/>
        <c:crosses val="autoZero"/>
        <c:auto val="1"/>
        <c:lblAlgn val="ctr"/>
        <c:lblOffset val="100"/>
        <c:noMultiLvlLbl val="0"/>
      </c:catAx>
      <c:valAx>
        <c:axId val="8536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_₽;\-#\ ##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36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Май ва Июнь ойларидаги 21 кунлик</a:t>
            </a:r>
          </a:p>
          <a:p>
            <a:pPr>
              <a:defRPr/>
            </a:pPr>
            <a:r>
              <a:rPr lang="ru-RU"/>
              <a:t> сотув фарқи (Чипталар сони)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'Май-Июнь чипта сони'!$B$2</c:f>
              <c:strCache>
                <c:ptCount val="1"/>
                <c:pt idx="0">
                  <c:v>Май (чипта сони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'Май-Июнь чипта сони'!$A$3:$A$18</c:f>
              <c:strCache>
                <c:ptCount val="16"/>
                <c:pt idx="1">
                  <c:v>Самарқанд</c:v>
                </c:pt>
                <c:pt idx="2">
                  <c:v>Тошкент Шимолий</c:v>
                </c:pt>
                <c:pt idx="3">
                  <c:v>Бухоро</c:v>
                </c:pt>
                <c:pt idx="4">
                  <c:v>Нукус</c:v>
                </c:pt>
                <c:pt idx="5">
                  <c:v>Термиз</c:v>
                </c:pt>
                <c:pt idx="6">
                  <c:v>Марғилон</c:v>
                </c:pt>
                <c:pt idx="7">
                  <c:v>Қўнғрод</c:v>
                </c:pt>
                <c:pt idx="8">
                  <c:v>Карши</c:v>
                </c:pt>
                <c:pt idx="9">
                  <c:v>Тошкент Жанубий</c:v>
                </c:pt>
                <c:pt idx="10">
                  <c:v>Андижон</c:v>
                </c:pt>
                <c:pt idx="11">
                  <c:v>Қўқон</c:v>
                </c:pt>
                <c:pt idx="12">
                  <c:v>Урганч</c:v>
                </c:pt>
                <c:pt idx="13">
                  <c:v>Хива</c:v>
                </c:pt>
                <c:pt idx="14">
                  <c:v>Наманган</c:v>
                </c:pt>
                <c:pt idx="15">
                  <c:v>Навои</c:v>
                </c:pt>
              </c:strCache>
            </c:strRef>
          </c:cat>
          <c:val>
            <c:numRef>
              <c:f>'Май-Июнь чипта сони'!$B$3:$B$18</c:f>
              <c:numCache>
                <c:formatCode>#\ ##0\ _₽;\-#\ ##0\ _₽</c:formatCode>
                <c:ptCount val="16"/>
                <c:pt idx="1">
                  <c:v>481</c:v>
                </c:pt>
                <c:pt idx="2">
                  <c:v>308</c:v>
                </c:pt>
                <c:pt idx="3">
                  <c:v>249</c:v>
                </c:pt>
                <c:pt idx="4">
                  <c:v>144</c:v>
                </c:pt>
                <c:pt idx="5">
                  <c:v>130</c:v>
                </c:pt>
                <c:pt idx="6">
                  <c:v>112</c:v>
                </c:pt>
                <c:pt idx="7">
                  <c:v>55</c:v>
                </c:pt>
                <c:pt idx="8">
                  <c:v>75</c:v>
                </c:pt>
                <c:pt idx="9">
                  <c:v>73</c:v>
                </c:pt>
                <c:pt idx="10">
                  <c:v>87</c:v>
                </c:pt>
                <c:pt idx="11">
                  <c:v>71</c:v>
                </c:pt>
                <c:pt idx="12">
                  <c:v>31</c:v>
                </c:pt>
                <c:pt idx="13">
                  <c:v>32</c:v>
                </c:pt>
                <c:pt idx="14">
                  <c:v>22</c:v>
                </c:pt>
                <c:pt idx="1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2-41E1-BA3D-A3FE152C3369}"/>
            </c:ext>
          </c:extLst>
        </c:ser>
        <c:ser>
          <c:idx val="1"/>
          <c:order val="1"/>
          <c:tx>
            <c:strRef>
              <c:f>'Май-Июнь чипта сони'!$C$2</c:f>
              <c:strCache>
                <c:ptCount val="1"/>
                <c:pt idx="0">
                  <c:v>Июнь (чипта сони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'Май-Июнь чипта сони'!$A$3:$A$18</c:f>
              <c:strCache>
                <c:ptCount val="16"/>
                <c:pt idx="1">
                  <c:v>Самарқанд</c:v>
                </c:pt>
                <c:pt idx="2">
                  <c:v>Тошкент Шимолий</c:v>
                </c:pt>
                <c:pt idx="3">
                  <c:v>Бухоро</c:v>
                </c:pt>
                <c:pt idx="4">
                  <c:v>Нукус</c:v>
                </c:pt>
                <c:pt idx="5">
                  <c:v>Термиз</c:v>
                </c:pt>
                <c:pt idx="6">
                  <c:v>Марғилон</c:v>
                </c:pt>
                <c:pt idx="7">
                  <c:v>Қўнғрод</c:v>
                </c:pt>
                <c:pt idx="8">
                  <c:v>Карши</c:v>
                </c:pt>
                <c:pt idx="9">
                  <c:v>Тошкент Жанубий</c:v>
                </c:pt>
                <c:pt idx="10">
                  <c:v>Андижон</c:v>
                </c:pt>
                <c:pt idx="11">
                  <c:v>Қўқон</c:v>
                </c:pt>
                <c:pt idx="12">
                  <c:v>Урганч</c:v>
                </c:pt>
                <c:pt idx="13">
                  <c:v>Хива</c:v>
                </c:pt>
                <c:pt idx="14">
                  <c:v>Наманган</c:v>
                </c:pt>
                <c:pt idx="15">
                  <c:v>Навои</c:v>
                </c:pt>
              </c:strCache>
            </c:strRef>
          </c:cat>
          <c:val>
            <c:numRef>
              <c:f>'Май-Июнь чипта сони'!$C$3:$C$18</c:f>
              <c:numCache>
                <c:formatCode>#\ ##0\ _₽;\-#\ ##0\ _₽</c:formatCode>
                <c:ptCount val="16"/>
                <c:pt idx="1">
                  <c:v>903</c:v>
                </c:pt>
                <c:pt idx="2">
                  <c:v>251</c:v>
                </c:pt>
                <c:pt idx="3">
                  <c:v>654</c:v>
                </c:pt>
                <c:pt idx="4">
                  <c:v>184</c:v>
                </c:pt>
                <c:pt idx="5">
                  <c:v>152</c:v>
                </c:pt>
                <c:pt idx="6">
                  <c:v>206</c:v>
                </c:pt>
                <c:pt idx="7">
                  <c:v>104</c:v>
                </c:pt>
                <c:pt idx="8">
                  <c:v>260</c:v>
                </c:pt>
                <c:pt idx="9">
                  <c:v>336</c:v>
                </c:pt>
                <c:pt idx="10">
                  <c:v>335</c:v>
                </c:pt>
                <c:pt idx="11">
                  <c:v>213</c:v>
                </c:pt>
                <c:pt idx="12">
                  <c:v>125</c:v>
                </c:pt>
                <c:pt idx="13">
                  <c:v>49</c:v>
                </c:pt>
                <c:pt idx="14">
                  <c:v>121</c:v>
                </c:pt>
                <c:pt idx="1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2-41E1-BA3D-A3FE152C33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7400399"/>
        <c:axId val="457405679"/>
      </c:barChart>
      <c:catAx>
        <c:axId val="45740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405679"/>
        <c:crosses val="autoZero"/>
        <c:auto val="1"/>
        <c:lblAlgn val="ctr"/>
        <c:lblOffset val="100"/>
        <c:noMultiLvlLbl val="0"/>
      </c:catAx>
      <c:valAx>
        <c:axId val="4574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_₽;\-#\ ##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40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0</xdr:row>
      <xdr:rowOff>247649</xdr:rowOff>
    </xdr:from>
    <xdr:to>
      <xdr:col>31</xdr:col>
      <xdr:colOff>462643</xdr:colOff>
      <xdr:row>42</xdr:row>
      <xdr:rowOff>68035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68890F2-2512-6254-484B-AF3313517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190500</xdr:rowOff>
    </xdr:from>
    <xdr:to>
      <xdr:col>24</xdr:col>
      <xdr:colOff>476250</xdr:colOff>
      <xdr:row>34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52DB7C5-153D-6B1E-24F1-35C921A2A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4D5E-E740-4B04-A28D-DF201786CFF6}">
  <dimension ref="A1:E22"/>
  <sheetViews>
    <sheetView zoomScale="70" zoomScaleNormal="70" workbookViewId="0">
      <selection activeCell="C24" sqref="C24"/>
    </sheetView>
  </sheetViews>
  <sheetFormatPr defaultRowHeight="15.75" x14ac:dyDescent="0.25"/>
  <cols>
    <col min="1" max="1" width="21.5703125" style="1" bestFit="1" customWidth="1"/>
    <col min="2" max="2" width="21.85546875" style="2" customWidth="1"/>
    <col min="3" max="3" width="20.7109375" style="2" customWidth="1"/>
    <col min="4" max="4" width="12" style="1" customWidth="1"/>
    <col min="5" max="5" width="15.42578125" style="1" customWidth="1"/>
    <col min="6" max="6" width="10" style="1" bestFit="1" customWidth="1"/>
    <col min="7" max="16384" width="9.140625" style="1"/>
  </cols>
  <sheetData>
    <row r="1" spans="1:5" ht="48" customHeight="1" x14ac:dyDescent="0.25">
      <c r="A1" s="12" t="s">
        <v>21</v>
      </c>
      <c r="B1" s="13"/>
      <c r="C1" s="13"/>
    </row>
    <row r="2" spans="1:5" x14ac:dyDescent="0.25">
      <c r="A2" s="13" t="s">
        <v>1</v>
      </c>
      <c r="B2" s="14" t="s">
        <v>19</v>
      </c>
      <c r="C2" s="14" t="s">
        <v>20</v>
      </c>
      <c r="D2" s="10"/>
      <c r="E2" s="11"/>
    </row>
    <row r="3" spans="1:5" x14ac:dyDescent="0.25">
      <c r="A3" s="13"/>
      <c r="B3" s="15"/>
      <c r="C3" s="15"/>
      <c r="D3" s="10"/>
      <c r="E3" s="11"/>
    </row>
    <row r="4" spans="1:5" x14ac:dyDescent="0.25">
      <c r="A4" s="5" t="s">
        <v>12</v>
      </c>
      <c r="B4" s="3">
        <v>131908360</v>
      </c>
      <c r="C4" s="3">
        <v>219807840</v>
      </c>
      <c r="D4" s="6"/>
      <c r="E4" s="7"/>
    </row>
    <row r="5" spans="1:5" x14ac:dyDescent="0.25">
      <c r="A5" s="5" t="s">
        <v>13</v>
      </c>
      <c r="B5" s="3">
        <v>100335460</v>
      </c>
      <c r="C5" s="3">
        <v>76797170</v>
      </c>
      <c r="D5" s="6"/>
      <c r="E5" s="8"/>
    </row>
    <row r="6" spans="1:5" x14ac:dyDescent="0.25">
      <c r="A6" s="5" t="s">
        <v>4</v>
      </c>
      <c r="B6" s="3">
        <v>59792300</v>
      </c>
      <c r="C6" s="3">
        <v>176222410</v>
      </c>
      <c r="D6" s="6"/>
      <c r="E6" s="7"/>
    </row>
    <row r="7" spans="1:5" x14ac:dyDescent="0.25">
      <c r="A7" s="5" t="s">
        <v>5</v>
      </c>
      <c r="B7" s="3">
        <v>54438420</v>
      </c>
      <c r="C7" s="3">
        <v>72146930</v>
      </c>
      <c r="D7" s="6"/>
      <c r="E7" s="7"/>
    </row>
    <row r="8" spans="1:5" x14ac:dyDescent="0.25">
      <c r="A8" s="5" t="s">
        <v>14</v>
      </c>
      <c r="B8" s="3">
        <v>29427300</v>
      </c>
      <c r="C8" s="3">
        <v>34658640</v>
      </c>
      <c r="D8" s="6"/>
      <c r="E8" s="7"/>
    </row>
    <row r="9" spans="1:5" x14ac:dyDescent="0.25">
      <c r="A9" s="5" t="s">
        <v>10</v>
      </c>
      <c r="B9" s="3">
        <v>29686510</v>
      </c>
      <c r="C9" s="3">
        <v>45177590</v>
      </c>
      <c r="D9" s="6"/>
      <c r="E9" s="7"/>
    </row>
    <row r="10" spans="1:5" x14ac:dyDescent="0.25">
      <c r="A10" s="5" t="s">
        <v>15</v>
      </c>
      <c r="B10" s="3">
        <v>24919600</v>
      </c>
      <c r="C10" s="3">
        <v>41082540</v>
      </c>
      <c r="D10" s="6"/>
      <c r="E10" s="7"/>
    </row>
    <row r="11" spans="1:5" x14ac:dyDescent="0.25">
      <c r="A11" s="5" t="s">
        <v>7</v>
      </c>
      <c r="B11" s="3">
        <v>15496480</v>
      </c>
      <c r="C11" s="3">
        <v>62101860</v>
      </c>
      <c r="D11" s="6"/>
      <c r="E11" s="7"/>
    </row>
    <row r="12" spans="1:5" x14ac:dyDescent="0.25">
      <c r="A12" s="5" t="s">
        <v>2</v>
      </c>
      <c r="B12" s="3">
        <v>15785240</v>
      </c>
      <c r="C12" s="3">
        <v>88507970</v>
      </c>
      <c r="D12" s="6"/>
      <c r="E12" s="7"/>
    </row>
    <row r="13" spans="1:5" x14ac:dyDescent="0.25">
      <c r="A13" s="5" t="s">
        <v>8</v>
      </c>
      <c r="B13" s="3">
        <v>17094980</v>
      </c>
      <c r="C13" s="3">
        <v>72775130</v>
      </c>
      <c r="D13" s="6"/>
      <c r="E13" s="7"/>
    </row>
    <row r="14" spans="1:5" x14ac:dyDescent="0.25">
      <c r="A14" s="5" t="s">
        <v>9</v>
      </c>
      <c r="B14" s="3">
        <v>13116000</v>
      </c>
      <c r="C14" s="3">
        <v>43930850</v>
      </c>
      <c r="D14" s="6"/>
      <c r="E14" s="7"/>
    </row>
    <row r="15" spans="1:5" x14ac:dyDescent="0.25">
      <c r="A15" s="5" t="s">
        <v>16</v>
      </c>
      <c r="B15" s="3">
        <v>8439620</v>
      </c>
      <c r="C15" s="3">
        <v>36434120</v>
      </c>
      <c r="D15" s="6"/>
      <c r="E15" s="7"/>
    </row>
    <row r="16" spans="1:5" x14ac:dyDescent="0.25">
      <c r="A16" s="5" t="s">
        <v>6</v>
      </c>
      <c r="B16" s="3">
        <v>6501840</v>
      </c>
      <c r="C16" s="3">
        <v>13779720</v>
      </c>
      <c r="D16" s="6"/>
      <c r="E16" s="7"/>
    </row>
    <row r="17" spans="1:5" x14ac:dyDescent="0.25">
      <c r="A17" s="5" t="s">
        <v>11</v>
      </c>
      <c r="B17" s="3">
        <v>3412420</v>
      </c>
      <c r="C17" s="3">
        <v>24296400</v>
      </c>
      <c r="D17" s="6"/>
      <c r="E17" s="7"/>
    </row>
    <row r="18" spans="1:5" x14ac:dyDescent="0.25">
      <c r="A18" s="5" t="s">
        <v>3</v>
      </c>
      <c r="B18" s="3">
        <v>2955370</v>
      </c>
      <c r="C18" s="3">
        <v>4014160</v>
      </c>
      <c r="D18" s="6"/>
      <c r="E18" s="7"/>
    </row>
    <row r="19" spans="1:5" x14ac:dyDescent="0.25">
      <c r="A19" s="5" t="s">
        <v>0</v>
      </c>
      <c r="B19" s="4">
        <v>513309900</v>
      </c>
      <c r="C19" s="4">
        <v>1011733330</v>
      </c>
      <c r="D19" s="6"/>
      <c r="E19" s="7"/>
    </row>
    <row r="22" spans="1:5" ht="47.25" customHeight="1" x14ac:dyDescent="0.25"/>
  </sheetData>
  <mergeCells count="6">
    <mergeCell ref="D2:D3"/>
    <mergeCell ref="E2:E3"/>
    <mergeCell ref="A1:C1"/>
    <mergeCell ref="A2:A3"/>
    <mergeCell ref="B2:B3"/>
    <mergeCell ref="C2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A0F4-DA1A-429A-A4D2-61B3DDE5E846}">
  <dimension ref="A1:C19"/>
  <sheetViews>
    <sheetView workbookViewId="0">
      <selection activeCell="C23" sqref="C23"/>
    </sheetView>
  </sheetViews>
  <sheetFormatPr defaultRowHeight="15" x14ac:dyDescent="0.25"/>
  <cols>
    <col min="1" max="1" width="21.5703125" bestFit="1" customWidth="1"/>
    <col min="2" max="2" width="18.7109375" bestFit="1" customWidth="1"/>
    <col min="3" max="3" width="19.85546875" bestFit="1" customWidth="1"/>
  </cols>
  <sheetData>
    <row r="1" spans="1:3" ht="52.5" customHeight="1" x14ac:dyDescent="0.25">
      <c r="A1" s="16" t="s">
        <v>22</v>
      </c>
      <c r="B1" s="17"/>
      <c r="C1" s="18"/>
    </row>
    <row r="2" spans="1:3" x14ac:dyDescent="0.25">
      <c r="A2" s="19" t="s">
        <v>1</v>
      </c>
      <c r="B2" s="14" t="s">
        <v>17</v>
      </c>
      <c r="C2" s="14" t="s">
        <v>18</v>
      </c>
    </row>
    <row r="3" spans="1:3" x14ac:dyDescent="0.25">
      <c r="A3" s="20"/>
      <c r="B3" s="15"/>
      <c r="C3" s="15"/>
    </row>
    <row r="4" spans="1:3" ht="15.75" x14ac:dyDescent="0.25">
      <c r="A4" s="5" t="s">
        <v>12</v>
      </c>
      <c r="B4" s="3">
        <v>481</v>
      </c>
      <c r="C4" s="3">
        <v>903</v>
      </c>
    </row>
    <row r="5" spans="1:3" ht="15.75" x14ac:dyDescent="0.25">
      <c r="A5" s="5" t="s">
        <v>13</v>
      </c>
      <c r="B5" s="3">
        <v>308</v>
      </c>
      <c r="C5" s="3">
        <v>251</v>
      </c>
    </row>
    <row r="6" spans="1:3" ht="15.75" x14ac:dyDescent="0.25">
      <c r="A6" s="5" t="s">
        <v>4</v>
      </c>
      <c r="B6" s="3">
        <v>249</v>
      </c>
      <c r="C6" s="3">
        <v>654</v>
      </c>
    </row>
    <row r="7" spans="1:3" ht="15.75" x14ac:dyDescent="0.25">
      <c r="A7" s="5" t="s">
        <v>5</v>
      </c>
      <c r="B7" s="3">
        <v>144</v>
      </c>
      <c r="C7" s="3">
        <v>184</v>
      </c>
    </row>
    <row r="8" spans="1:3" ht="15.75" x14ac:dyDescent="0.25">
      <c r="A8" s="5" t="s">
        <v>14</v>
      </c>
      <c r="B8" s="3">
        <v>130</v>
      </c>
      <c r="C8" s="3">
        <v>152</v>
      </c>
    </row>
    <row r="9" spans="1:3" ht="15.75" x14ac:dyDescent="0.25">
      <c r="A9" s="5" t="s">
        <v>10</v>
      </c>
      <c r="B9" s="3">
        <v>112</v>
      </c>
      <c r="C9" s="3">
        <v>206</v>
      </c>
    </row>
    <row r="10" spans="1:3" ht="15.75" x14ac:dyDescent="0.25">
      <c r="A10" s="5" t="s">
        <v>15</v>
      </c>
      <c r="B10" s="3">
        <v>55</v>
      </c>
      <c r="C10" s="3">
        <v>104</v>
      </c>
    </row>
    <row r="11" spans="1:3" ht="15.75" x14ac:dyDescent="0.25">
      <c r="A11" s="5" t="s">
        <v>7</v>
      </c>
      <c r="B11" s="3">
        <v>75</v>
      </c>
      <c r="C11" s="3">
        <v>260</v>
      </c>
    </row>
    <row r="12" spans="1:3" ht="15.75" x14ac:dyDescent="0.25">
      <c r="A12" s="5" t="s">
        <v>2</v>
      </c>
      <c r="B12" s="3">
        <v>73</v>
      </c>
      <c r="C12" s="3">
        <v>336</v>
      </c>
    </row>
    <row r="13" spans="1:3" ht="15.75" x14ac:dyDescent="0.25">
      <c r="A13" s="5" t="s">
        <v>8</v>
      </c>
      <c r="B13" s="3">
        <v>87</v>
      </c>
      <c r="C13" s="3">
        <v>335</v>
      </c>
    </row>
    <row r="14" spans="1:3" ht="15.75" x14ac:dyDescent="0.25">
      <c r="A14" s="5" t="s">
        <v>9</v>
      </c>
      <c r="B14" s="3">
        <v>71</v>
      </c>
      <c r="C14" s="3">
        <v>213</v>
      </c>
    </row>
    <row r="15" spans="1:3" ht="15.75" x14ac:dyDescent="0.25">
      <c r="A15" s="5" t="s">
        <v>16</v>
      </c>
      <c r="B15" s="3">
        <v>31</v>
      </c>
      <c r="C15" s="3">
        <v>125</v>
      </c>
    </row>
    <row r="16" spans="1:3" ht="15.75" x14ac:dyDescent="0.25">
      <c r="A16" s="5" t="s">
        <v>6</v>
      </c>
      <c r="B16" s="3">
        <v>32</v>
      </c>
      <c r="C16" s="3">
        <v>49</v>
      </c>
    </row>
    <row r="17" spans="1:3" ht="15.75" x14ac:dyDescent="0.25">
      <c r="A17" s="5" t="s">
        <v>11</v>
      </c>
      <c r="B17" s="3">
        <v>22</v>
      </c>
      <c r="C17" s="3">
        <v>121</v>
      </c>
    </row>
    <row r="18" spans="1:3" ht="15.75" x14ac:dyDescent="0.25">
      <c r="A18" s="5" t="s">
        <v>3</v>
      </c>
      <c r="B18" s="3">
        <v>20</v>
      </c>
      <c r="C18" s="3">
        <v>14</v>
      </c>
    </row>
    <row r="19" spans="1:3" ht="15.75" x14ac:dyDescent="0.25">
      <c r="A19" s="5" t="s">
        <v>0</v>
      </c>
      <c r="B19" s="4">
        <f>SUM(B4:B18)</f>
        <v>1890</v>
      </c>
      <c r="C19" s="4">
        <v>3907</v>
      </c>
    </row>
  </sheetData>
  <mergeCells count="4">
    <mergeCell ref="A1:C1"/>
    <mergeCell ref="A2:A3"/>
    <mergeCell ref="B2:B3"/>
    <mergeCell ref="C2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F836-078A-417F-9542-5796A27EBB6D}">
  <dimension ref="A1:C9"/>
  <sheetViews>
    <sheetView tabSelected="1" workbookViewId="0">
      <selection activeCell="F4" sqref="F4"/>
    </sheetView>
  </sheetViews>
  <sheetFormatPr defaultRowHeight="15" x14ac:dyDescent="0.25"/>
  <cols>
    <col min="1" max="1" width="20.28515625" customWidth="1"/>
    <col min="2" max="2" width="23" style="9" customWidth="1"/>
    <col min="3" max="3" width="25" style="9" customWidth="1"/>
  </cols>
  <sheetData>
    <row r="1" spans="1:3" ht="52.5" customHeight="1" x14ac:dyDescent="0.25">
      <c r="A1" s="25" t="s">
        <v>32</v>
      </c>
      <c r="B1" s="26"/>
      <c r="C1" s="26"/>
    </row>
    <row r="2" spans="1:3" ht="33" customHeight="1" x14ac:dyDescent="0.25">
      <c r="A2" s="21" t="s">
        <v>31</v>
      </c>
      <c r="B2" s="22" t="s">
        <v>23</v>
      </c>
      <c r="C2" s="22" t="s">
        <v>24</v>
      </c>
    </row>
    <row r="3" spans="1:3" x14ac:dyDescent="0.25">
      <c r="A3" s="23" t="s">
        <v>25</v>
      </c>
      <c r="B3" s="24">
        <v>2604</v>
      </c>
      <c r="C3" s="24">
        <v>711328490</v>
      </c>
    </row>
    <row r="4" spans="1:3" x14ac:dyDescent="0.25">
      <c r="A4" s="23" t="s">
        <v>26</v>
      </c>
      <c r="B4" s="24">
        <v>2654</v>
      </c>
      <c r="C4" s="24">
        <v>706034840</v>
      </c>
    </row>
    <row r="5" spans="1:3" x14ac:dyDescent="0.25">
      <c r="A5" s="23" t="s">
        <v>27</v>
      </c>
      <c r="B5" s="24">
        <v>1391</v>
      </c>
      <c r="C5" s="24">
        <v>376629820</v>
      </c>
    </row>
    <row r="6" spans="1:3" x14ac:dyDescent="0.25">
      <c r="A6" s="23" t="s">
        <v>28</v>
      </c>
      <c r="B6" s="24">
        <v>1988</v>
      </c>
      <c r="C6" s="24">
        <v>481312610</v>
      </c>
    </row>
    <row r="7" spans="1:3" x14ac:dyDescent="0.25">
      <c r="A7" s="23" t="s">
        <v>29</v>
      </c>
      <c r="B7" s="24">
        <v>2907</v>
      </c>
      <c r="C7" s="24">
        <v>775275000</v>
      </c>
    </row>
    <row r="8" spans="1:3" x14ac:dyDescent="0.25">
      <c r="A8" s="23" t="s">
        <v>30</v>
      </c>
      <c r="B8" s="24">
        <v>5288</v>
      </c>
      <c r="C8" s="24">
        <v>1366970360</v>
      </c>
    </row>
    <row r="9" spans="1:3" x14ac:dyDescent="0.25">
      <c r="A9" s="21" t="s">
        <v>0</v>
      </c>
      <c r="B9" s="22">
        <f>SUM(B3:B8)</f>
        <v>16832</v>
      </c>
      <c r="C9" s="22">
        <f>SUM(C3:C8)</f>
        <v>4417551120</v>
      </c>
    </row>
  </sheetData>
  <mergeCells count="1">
    <mergeCell ref="A1:C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Май-Июнь</vt:lpstr>
      <vt:lpstr>Май-Июнь чипта сони</vt:lpstr>
      <vt:lpstr>Сумма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</dc:creator>
  <cp:lastModifiedBy>LEK</cp:lastModifiedBy>
  <dcterms:created xsi:type="dcterms:W3CDTF">2015-06-05T18:19:34Z</dcterms:created>
  <dcterms:modified xsi:type="dcterms:W3CDTF">2026-07-06T09:02:34Z</dcterms:modified>
</cp:coreProperties>
</file>