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K\Desktop\"/>
    </mc:Choice>
  </mc:AlternateContent>
  <xr:revisionPtr revIDLastSave="0" documentId="13_ncr:1_{1A635C8F-E4AD-4C00-8B10-9ADE194EBC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G11" i="1"/>
  <c r="F11" i="1"/>
  <c r="E11" i="1"/>
  <c r="D11" i="1"/>
  <c r="C10" i="1"/>
  <c r="B10" i="1"/>
  <c r="C9" i="1" l="1"/>
  <c r="B9" i="1"/>
  <c r="C8" i="1"/>
  <c r="B8" i="1"/>
  <c r="C7" i="1"/>
  <c r="B7" i="1"/>
  <c r="C6" i="1"/>
  <c r="B6" i="1"/>
  <c r="C5" i="1"/>
  <c r="B5" i="1"/>
  <c r="C4" i="1"/>
  <c r="B4" i="1"/>
  <c r="B11" i="1" s="1"/>
  <c r="C11" i="1" l="1"/>
</calcChain>
</file>

<file path=xl/sharedStrings.xml><?xml version="1.0" encoding="utf-8"?>
<sst xmlns="http://schemas.openxmlformats.org/spreadsheetml/2006/main" count="79" uniqueCount="35">
  <si>
    <t>Январь</t>
  </si>
  <si>
    <t>Февраль</t>
  </si>
  <si>
    <t>Март</t>
  </si>
  <si>
    <t>Апрель</t>
  </si>
  <si>
    <t>Май</t>
  </si>
  <si>
    <t>Июнь</t>
  </si>
  <si>
    <t>Жами</t>
  </si>
  <si>
    <t>Сони</t>
  </si>
  <si>
    <t>Сумма</t>
  </si>
  <si>
    <t>Ой</t>
  </si>
  <si>
    <t>Андижон</t>
  </si>
  <si>
    <t>Бухоро</t>
  </si>
  <si>
    <t>Хива</t>
  </si>
  <si>
    <t>Тошкент Жанубий</t>
  </si>
  <si>
    <t>Марғилон</t>
  </si>
  <si>
    <t>Навои</t>
  </si>
  <si>
    <t>Наманган</t>
  </si>
  <si>
    <t>Нукус</t>
  </si>
  <si>
    <t>Қўқон</t>
  </si>
  <si>
    <t>Самарқанд</t>
  </si>
  <si>
    <t>Термиз</t>
  </si>
  <si>
    <t>Тошкент Марказий</t>
  </si>
  <si>
    <t>Урганч</t>
  </si>
  <si>
    <t>Самарканд</t>
  </si>
  <si>
    <t>Ургенч</t>
  </si>
  <si>
    <t>Карши</t>
  </si>
  <si>
    <t>Термез</t>
  </si>
  <si>
    <t>Кунгрод</t>
  </si>
  <si>
    <t>Чиптаҳоналардаги киоскалардан сотилган
 чипталар тўғрисида маълумотнома (ойлар кесимида)</t>
  </si>
  <si>
    <t>Июль (01.07-19.07)</t>
  </si>
  <si>
    <t>№</t>
  </si>
  <si>
    <t>Худуд</t>
  </si>
  <si>
    <t>Тошкент Шимолий</t>
  </si>
  <si>
    <t>Қўнғрод</t>
  </si>
  <si>
    <t>Жами: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</si>
</sst>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₽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0" borderId="0" xfId="0" applyFont="1"/>
    <xf numFmtId="14" fontId="3" fillId="0" borderId="1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5" fillId="0" borderId="0" xfId="0" applyFont="1" applyAlignment="1"/>
    <xf numFmtId="164" fontId="5" fillId="0" borderId="0" xfId="0" applyNumberFormat="1" applyFont="1"/>
    <xf numFmtId="0" fontId="3" fillId="0" borderId="3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164" fontId="3" fillId="4" borderId="13" xfId="0" applyNumberFormat="1" applyFont="1" applyFill="1" applyBorder="1" applyAlignment="1">
      <alignment horizontal="center"/>
    </xf>
    <xf numFmtId="164" fontId="3" fillId="4" borderId="14" xfId="0" applyNumberFormat="1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164" fontId="3" fillId="2" borderId="21" xfId="0" applyNumberFormat="1" applyFont="1" applyFill="1" applyBorder="1" applyAlignment="1">
      <alignment horizontal="center"/>
    </xf>
    <xf numFmtId="164" fontId="3" fillId="2" borderId="17" xfId="0" applyNumberFormat="1" applyFont="1" applyFill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164" fontId="3" fillId="2" borderId="15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3" fillId="2" borderId="18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4" fontId="3" fillId="3" borderId="20" xfId="0" applyNumberFormat="1" applyFont="1" applyFill="1" applyBorder="1" applyAlignment="1">
      <alignment horizontal="center"/>
    </xf>
    <xf numFmtId="164" fontId="3" fillId="3" borderId="10" xfId="0" applyNumberFormat="1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7" fillId="6" borderId="15" xfId="0" applyFont="1" applyFill="1" applyBorder="1" applyAlignment="1">
      <alignment horizontal="center" vertical="center"/>
    </xf>
    <xf numFmtId="164" fontId="7" fillId="6" borderId="15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164" fontId="7" fillId="3" borderId="15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2" fillId="0" borderId="19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164" fontId="3" fillId="4" borderId="11" xfId="0" applyNumberFormat="1" applyFont="1" applyFill="1" applyBorder="1" applyAlignment="1">
      <alignment horizontal="center"/>
    </xf>
    <xf numFmtId="164" fontId="3" fillId="4" borderId="12" xfId="0" applyNumberFormat="1" applyFont="1" applyFill="1" applyBorder="1" applyAlignment="1">
      <alignment horizontal="center"/>
    </xf>
    <xf numFmtId="164" fontId="4" fillId="5" borderId="11" xfId="0" applyNumberFormat="1" applyFont="1" applyFill="1" applyBorder="1" applyAlignment="1">
      <alignment horizontal="center"/>
    </xf>
    <xf numFmtId="164" fontId="4" fillId="5" borderId="12" xfId="0" applyNumberFormat="1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Чиптаҳоналардаги киоскалардан сотилган</a:t>
            </a:r>
          </a:p>
          <a:p>
            <a:pPr>
              <a:defRPr/>
            </a:pPr>
            <a:r>
              <a:rPr lang="ru-RU"/>
              <a:t> чипталар тўғрисида маълумотнома (ойлар кесимида)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Лист2!$B$3:$B$17</c:f>
              <c:strCache>
                <c:ptCount val="15"/>
                <c:pt idx="0">
                  <c:v>Самарқанд</c:v>
                </c:pt>
                <c:pt idx="1">
                  <c:v>Бухоро</c:v>
                </c:pt>
                <c:pt idx="2">
                  <c:v>Тошкент Шимолий</c:v>
                </c:pt>
                <c:pt idx="3">
                  <c:v>Марғилон</c:v>
                </c:pt>
                <c:pt idx="4">
                  <c:v>Нукус</c:v>
                </c:pt>
                <c:pt idx="5">
                  <c:v>Тошкент Жанубий</c:v>
                </c:pt>
                <c:pt idx="6">
                  <c:v>Термиз</c:v>
                </c:pt>
                <c:pt idx="7">
                  <c:v>Карши</c:v>
                </c:pt>
                <c:pt idx="8">
                  <c:v>Андижон</c:v>
                </c:pt>
                <c:pt idx="9">
                  <c:v>Қўқон</c:v>
                </c:pt>
                <c:pt idx="10">
                  <c:v>Урганч</c:v>
                </c:pt>
                <c:pt idx="11">
                  <c:v>Қўнғрод</c:v>
                </c:pt>
                <c:pt idx="12">
                  <c:v>Наманган</c:v>
                </c:pt>
                <c:pt idx="13">
                  <c:v>Хива</c:v>
                </c:pt>
                <c:pt idx="14">
                  <c:v>Навои</c:v>
                </c:pt>
              </c:strCache>
            </c:strRef>
          </c:cat>
          <c:val>
            <c:numRef>
              <c:f>Лист2!$C$3:$C$17</c:f>
              <c:numCache>
                <c:formatCode>#\ ##0\ _₽</c:formatCode>
                <c:ptCount val="15"/>
                <c:pt idx="0">
                  <c:v>6404</c:v>
                </c:pt>
                <c:pt idx="1">
                  <c:v>2767</c:v>
                </c:pt>
                <c:pt idx="2">
                  <c:v>2273</c:v>
                </c:pt>
                <c:pt idx="3">
                  <c:v>1958</c:v>
                </c:pt>
                <c:pt idx="4">
                  <c:v>1142</c:v>
                </c:pt>
                <c:pt idx="5">
                  <c:v>1240</c:v>
                </c:pt>
                <c:pt idx="6">
                  <c:v>1454</c:v>
                </c:pt>
                <c:pt idx="7">
                  <c:v>1406</c:v>
                </c:pt>
                <c:pt idx="8">
                  <c:v>1450</c:v>
                </c:pt>
                <c:pt idx="9">
                  <c:v>1003</c:v>
                </c:pt>
                <c:pt idx="10">
                  <c:v>703</c:v>
                </c:pt>
                <c:pt idx="11">
                  <c:v>498</c:v>
                </c:pt>
                <c:pt idx="12">
                  <c:v>501</c:v>
                </c:pt>
                <c:pt idx="13">
                  <c:v>297</c:v>
                </c:pt>
                <c:pt idx="1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2-4A64-BE2A-F3E353E47299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Лист2!$B$3:$B$17</c:f>
              <c:strCache>
                <c:ptCount val="15"/>
                <c:pt idx="0">
                  <c:v>Самарқанд</c:v>
                </c:pt>
                <c:pt idx="1">
                  <c:v>Бухоро</c:v>
                </c:pt>
                <c:pt idx="2">
                  <c:v>Тошкент Шимолий</c:v>
                </c:pt>
                <c:pt idx="3">
                  <c:v>Марғилон</c:v>
                </c:pt>
                <c:pt idx="4">
                  <c:v>Нукус</c:v>
                </c:pt>
                <c:pt idx="5">
                  <c:v>Тошкент Жанубий</c:v>
                </c:pt>
                <c:pt idx="6">
                  <c:v>Термиз</c:v>
                </c:pt>
                <c:pt idx="7">
                  <c:v>Карши</c:v>
                </c:pt>
                <c:pt idx="8">
                  <c:v>Андижон</c:v>
                </c:pt>
                <c:pt idx="9">
                  <c:v>Қўқон</c:v>
                </c:pt>
                <c:pt idx="10">
                  <c:v>Урганч</c:v>
                </c:pt>
                <c:pt idx="11">
                  <c:v>Қўнғрод</c:v>
                </c:pt>
                <c:pt idx="12">
                  <c:v>Наманган</c:v>
                </c:pt>
                <c:pt idx="13">
                  <c:v>Хива</c:v>
                </c:pt>
                <c:pt idx="14">
                  <c:v>Навои</c:v>
                </c:pt>
              </c:strCache>
            </c:strRef>
          </c:cat>
          <c:val>
            <c:numRef>
              <c:f>Лист2!$D$3:$D$17</c:f>
              <c:numCache>
                <c:formatCode>#\ ##0\ _₽</c:formatCode>
                <c:ptCount val="15"/>
                <c:pt idx="0">
                  <c:v>1560793870</c:v>
                </c:pt>
                <c:pt idx="1">
                  <c:v>759968750</c:v>
                </c:pt>
                <c:pt idx="2">
                  <c:v>706238690</c:v>
                </c:pt>
                <c:pt idx="3">
                  <c:v>554055170</c:v>
                </c:pt>
                <c:pt idx="4">
                  <c:v>417668720</c:v>
                </c:pt>
                <c:pt idx="5">
                  <c:v>338929170</c:v>
                </c:pt>
                <c:pt idx="6">
                  <c:v>331073720</c:v>
                </c:pt>
                <c:pt idx="7">
                  <c:v>322654950</c:v>
                </c:pt>
                <c:pt idx="8">
                  <c:v>309758890</c:v>
                </c:pt>
                <c:pt idx="9">
                  <c:v>228246560</c:v>
                </c:pt>
                <c:pt idx="10">
                  <c:v>196481760</c:v>
                </c:pt>
                <c:pt idx="11">
                  <c:v>195409640</c:v>
                </c:pt>
                <c:pt idx="12">
                  <c:v>100434060</c:v>
                </c:pt>
                <c:pt idx="13">
                  <c:v>76285050</c:v>
                </c:pt>
                <c:pt idx="14">
                  <c:v>35968580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2-4A64-BE2A-F3E353E472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47954719"/>
        <c:axId val="1147965759"/>
      </c:barChart>
      <c:catAx>
        <c:axId val="114795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7965759"/>
        <c:crosses val="autoZero"/>
        <c:auto val="1"/>
        <c:lblAlgn val="ctr"/>
        <c:lblOffset val="100"/>
        <c:noMultiLvlLbl val="0"/>
      </c:catAx>
      <c:valAx>
        <c:axId val="114796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_₽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795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352426</xdr:colOff>
      <xdr:row>0</xdr:row>
      <xdr:rowOff>361950</xdr:rowOff>
    </xdr:from>
    <xdr:to>
      <xdr:col>26</xdr:col>
      <xdr:colOff>381000</xdr:colOff>
      <xdr:row>30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4EA50BC-5A93-FB12-D626-5064262DF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"/>
  <sheetViews>
    <sheetView tabSelected="1" zoomScale="55" zoomScaleNormal="55" workbookViewId="0">
      <selection activeCell="A19" sqref="A19"/>
    </sheetView>
  </sheetViews>
  <sheetFormatPr defaultRowHeight="23.25" x14ac:dyDescent="0.35"/>
  <cols>
    <col min="1" max="1" width="31.28515625" style="1" customWidth="1"/>
    <col min="2" max="2" width="26.28515625" style="1" hidden="1" customWidth="1"/>
    <col min="3" max="3" width="25.5703125" style="1" hidden="1" customWidth="1"/>
    <col min="4" max="4" width="24.85546875" style="1" hidden="1" customWidth="1"/>
    <col min="5" max="5" width="22.7109375" style="1" hidden="1" customWidth="1"/>
    <col min="6" max="6" width="15.85546875" style="1" customWidth="1"/>
    <col min="7" max="7" width="22.7109375" style="1" bestFit="1" customWidth="1"/>
    <col min="8" max="8" width="19" style="1" customWidth="1"/>
    <col min="9" max="9" width="29.7109375" style="1" customWidth="1"/>
    <col min="10" max="10" width="14.85546875" style="1" customWidth="1"/>
    <col min="11" max="11" width="20.85546875" style="1" bestFit="1" customWidth="1"/>
    <col min="12" max="12" width="14.85546875" style="1" customWidth="1"/>
    <col min="13" max="13" width="22.7109375" style="1" bestFit="1" customWidth="1"/>
    <col min="14" max="14" width="12.28515625" style="1" bestFit="1" customWidth="1"/>
    <col min="15" max="15" width="22.7109375" style="1" bestFit="1" customWidth="1"/>
    <col min="16" max="16" width="9.7109375" style="1" bestFit="1" customWidth="1"/>
    <col min="17" max="17" width="22.7109375" style="1" bestFit="1" customWidth="1"/>
    <col min="18" max="18" width="9.7109375" style="1" bestFit="1" customWidth="1"/>
    <col min="19" max="19" width="20.85546875" style="1" bestFit="1" customWidth="1"/>
    <col min="20" max="20" width="12.28515625" style="1" bestFit="1" customWidth="1"/>
    <col min="21" max="21" width="22.7109375" style="1" bestFit="1" customWidth="1"/>
    <col min="22" max="22" width="12.28515625" style="1" bestFit="1" customWidth="1"/>
    <col min="23" max="23" width="22.7109375" style="1" bestFit="1" customWidth="1"/>
    <col min="24" max="24" width="9.7109375" style="1" bestFit="1" customWidth="1"/>
    <col min="25" max="25" width="22.7109375" style="1" bestFit="1" customWidth="1"/>
    <col min="26" max="26" width="12.28515625" style="1" bestFit="1" customWidth="1"/>
    <col min="27" max="27" width="22.7109375" style="1" bestFit="1" customWidth="1"/>
    <col min="28" max="28" width="12.28515625" style="1" bestFit="1" customWidth="1"/>
    <col min="29" max="29" width="22.7109375" style="1" bestFit="1" customWidth="1"/>
    <col min="30" max="30" width="12.28515625" style="1" bestFit="1" customWidth="1"/>
    <col min="31" max="31" width="22.7109375" style="1" bestFit="1" customWidth="1"/>
    <col min="32" max="32" width="9.7109375" style="1" bestFit="1" customWidth="1"/>
    <col min="33" max="33" width="22.7109375" style="1" bestFit="1" customWidth="1"/>
    <col min="34" max="16384" width="9.140625" style="1"/>
  </cols>
  <sheetData>
    <row r="1" spans="1:33" s="4" customFormat="1" ht="61.5" customHeight="1" thickBot="1" x14ac:dyDescent="0.45">
      <c r="A1" s="45" t="s">
        <v>28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</row>
    <row r="2" spans="1:33" ht="22.5" customHeight="1" thickBot="1" x14ac:dyDescent="0.4">
      <c r="A2" s="41" t="s">
        <v>9</v>
      </c>
      <c r="B2" s="39" t="s">
        <v>6</v>
      </c>
      <c r="C2" s="40"/>
      <c r="D2" s="43" t="s">
        <v>21</v>
      </c>
      <c r="E2" s="44"/>
      <c r="F2" s="43" t="s">
        <v>13</v>
      </c>
      <c r="G2" s="44"/>
      <c r="H2" s="43" t="s">
        <v>23</v>
      </c>
      <c r="I2" s="44"/>
      <c r="J2" s="47" t="s">
        <v>15</v>
      </c>
      <c r="K2" s="48"/>
      <c r="L2" s="43" t="s">
        <v>11</v>
      </c>
      <c r="M2" s="44"/>
      <c r="N2" s="49" t="s">
        <v>17</v>
      </c>
      <c r="O2" s="50"/>
      <c r="P2" s="43" t="s">
        <v>24</v>
      </c>
      <c r="Q2" s="44"/>
      <c r="R2" s="43" t="s">
        <v>12</v>
      </c>
      <c r="S2" s="44"/>
      <c r="T2" s="43" t="s">
        <v>25</v>
      </c>
      <c r="U2" s="44"/>
      <c r="V2" s="43" t="s">
        <v>26</v>
      </c>
      <c r="W2" s="44"/>
      <c r="X2" s="47" t="s">
        <v>27</v>
      </c>
      <c r="Y2" s="48"/>
      <c r="Z2" s="47" t="s">
        <v>10</v>
      </c>
      <c r="AA2" s="48"/>
      <c r="AB2" s="43" t="s">
        <v>18</v>
      </c>
      <c r="AC2" s="44"/>
      <c r="AD2" s="43" t="s">
        <v>14</v>
      </c>
      <c r="AE2" s="44"/>
      <c r="AF2" s="43" t="s">
        <v>16</v>
      </c>
      <c r="AG2" s="44"/>
    </row>
    <row r="3" spans="1:33" ht="24" thickBot="1" x14ac:dyDescent="0.4">
      <c r="A3" s="42"/>
      <c r="B3" s="9" t="s">
        <v>7</v>
      </c>
      <c r="C3" s="10" t="s">
        <v>8</v>
      </c>
      <c r="D3" s="11" t="s">
        <v>7</v>
      </c>
      <c r="E3" s="12" t="s">
        <v>8</v>
      </c>
      <c r="F3" s="11" t="s">
        <v>7</v>
      </c>
      <c r="G3" s="12" t="s">
        <v>8</v>
      </c>
      <c r="H3" s="11" t="s">
        <v>7</v>
      </c>
      <c r="I3" s="12" t="s">
        <v>8</v>
      </c>
      <c r="J3" s="11" t="s">
        <v>7</v>
      </c>
      <c r="K3" s="12" t="s">
        <v>8</v>
      </c>
      <c r="L3" s="11" t="s">
        <v>7</v>
      </c>
      <c r="M3" s="12" t="s">
        <v>8</v>
      </c>
      <c r="N3" s="11" t="s">
        <v>7</v>
      </c>
      <c r="O3" s="12" t="s">
        <v>8</v>
      </c>
      <c r="P3" s="11" t="s">
        <v>7</v>
      </c>
      <c r="Q3" s="12" t="s">
        <v>8</v>
      </c>
      <c r="R3" s="11" t="s">
        <v>7</v>
      </c>
      <c r="S3" s="12" t="s">
        <v>8</v>
      </c>
      <c r="T3" s="11" t="s">
        <v>7</v>
      </c>
      <c r="U3" s="12" t="s">
        <v>8</v>
      </c>
      <c r="V3" s="11" t="s">
        <v>7</v>
      </c>
      <c r="W3" s="12" t="s">
        <v>8</v>
      </c>
      <c r="X3" s="13" t="s">
        <v>7</v>
      </c>
      <c r="Y3" s="14" t="s">
        <v>8</v>
      </c>
      <c r="Z3" s="13" t="s">
        <v>7</v>
      </c>
      <c r="AA3" s="14" t="s">
        <v>8</v>
      </c>
      <c r="AB3" s="13" t="s">
        <v>7</v>
      </c>
      <c r="AC3" s="14" t="s">
        <v>8</v>
      </c>
      <c r="AD3" s="13" t="s">
        <v>7</v>
      </c>
      <c r="AE3" s="14" t="s">
        <v>8</v>
      </c>
      <c r="AF3" s="13" t="s">
        <v>7</v>
      </c>
      <c r="AG3" s="14" t="s">
        <v>8</v>
      </c>
    </row>
    <row r="4" spans="1:33" x14ac:dyDescent="0.35">
      <c r="A4" s="15" t="s">
        <v>0</v>
      </c>
      <c r="B4" s="16">
        <f>D4+F4+H4+J4+L4+N4+P4+R4+T4+V4+X4+Z4+AB4+AD4+AF4</f>
        <v>2604</v>
      </c>
      <c r="C4" s="17">
        <f>E4+G4+I4+K4+M4+O4+Q4+S4+U4+W4+Y4+AA4+AC4+AE4+AG4</f>
        <v>711328490</v>
      </c>
      <c r="D4" s="18">
        <v>393</v>
      </c>
      <c r="E4" s="19">
        <v>128161410</v>
      </c>
      <c r="F4" s="18">
        <v>159</v>
      </c>
      <c r="G4" s="19">
        <v>54581230</v>
      </c>
      <c r="H4" s="18">
        <v>573</v>
      </c>
      <c r="I4" s="19">
        <v>127638850</v>
      </c>
      <c r="J4" s="18">
        <v>60</v>
      </c>
      <c r="K4" s="19">
        <v>11090840</v>
      </c>
      <c r="L4" s="18">
        <v>68</v>
      </c>
      <c r="M4" s="19">
        <v>14072500</v>
      </c>
      <c r="N4" s="18">
        <v>212</v>
      </c>
      <c r="O4" s="19">
        <v>75296380</v>
      </c>
      <c r="P4" s="18">
        <v>90</v>
      </c>
      <c r="Q4" s="19">
        <v>21169260</v>
      </c>
      <c r="R4" s="18">
        <v>40</v>
      </c>
      <c r="S4" s="19">
        <v>10032280</v>
      </c>
      <c r="T4" s="18">
        <v>144</v>
      </c>
      <c r="U4" s="19">
        <v>29875380</v>
      </c>
      <c r="V4" s="18">
        <v>142</v>
      </c>
      <c r="W4" s="19">
        <v>29047220</v>
      </c>
      <c r="X4" s="18">
        <v>6</v>
      </c>
      <c r="Y4" s="19">
        <v>2519510</v>
      </c>
      <c r="Z4" s="18">
        <v>111</v>
      </c>
      <c r="AA4" s="19">
        <v>23775260</v>
      </c>
      <c r="AB4" s="18">
        <v>81</v>
      </c>
      <c r="AC4" s="19">
        <v>18504850</v>
      </c>
      <c r="AD4" s="18">
        <v>432</v>
      </c>
      <c r="AE4" s="19">
        <v>145134680</v>
      </c>
      <c r="AF4" s="18">
        <v>93</v>
      </c>
      <c r="AG4" s="19">
        <v>20428840</v>
      </c>
    </row>
    <row r="5" spans="1:33" x14ac:dyDescent="0.35">
      <c r="A5" s="2" t="s">
        <v>1</v>
      </c>
      <c r="B5" s="20">
        <f>D5+F5+H5+J5+L5+N5+P5+R5+T5+V5+X5+Z5+AB5+AD5+AF5</f>
        <v>2654</v>
      </c>
      <c r="C5" s="21">
        <f t="shared" ref="C5:C9" si="0">E5+G5+I5+K5+M5+O5+Q5+S5+U5+W5+Y5+AA5+AC5+AE5+AG5</f>
        <v>706034840</v>
      </c>
      <c r="D5" s="22">
        <v>280</v>
      </c>
      <c r="E5" s="23">
        <v>84371130</v>
      </c>
      <c r="F5" s="22">
        <v>69</v>
      </c>
      <c r="G5" s="23">
        <v>20794540</v>
      </c>
      <c r="H5" s="22">
        <v>945</v>
      </c>
      <c r="I5" s="23">
        <v>224851440</v>
      </c>
      <c r="J5" s="22">
        <v>15</v>
      </c>
      <c r="K5" s="23">
        <v>3582380</v>
      </c>
      <c r="L5" s="22">
        <v>38</v>
      </c>
      <c r="M5" s="23">
        <v>8572500</v>
      </c>
      <c r="N5" s="22">
        <v>82</v>
      </c>
      <c r="O5" s="23">
        <v>28047020</v>
      </c>
      <c r="P5" s="22">
        <v>95</v>
      </c>
      <c r="Q5" s="23">
        <v>23630330</v>
      </c>
      <c r="R5" s="22">
        <v>37</v>
      </c>
      <c r="S5" s="23">
        <v>8684810</v>
      </c>
      <c r="T5" s="22">
        <v>50</v>
      </c>
      <c r="U5" s="23">
        <v>11934960</v>
      </c>
      <c r="V5" s="22">
        <v>205</v>
      </c>
      <c r="W5" s="23">
        <v>49185120</v>
      </c>
      <c r="X5" s="22">
        <v>3</v>
      </c>
      <c r="Y5" s="23">
        <v>998990</v>
      </c>
      <c r="Z5" s="22">
        <v>142</v>
      </c>
      <c r="AA5" s="23">
        <v>29655970</v>
      </c>
      <c r="AB5" s="22">
        <v>183</v>
      </c>
      <c r="AC5" s="23">
        <v>47086220</v>
      </c>
      <c r="AD5" s="22">
        <v>475</v>
      </c>
      <c r="AE5" s="23">
        <v>156561430</v>
      </c>
      <c r="AF5" s="22">
        <v>35</v>
      </c>
      <c r="AG5" s="23">
        <v>8078000</v>
      </c>
    </row>
    <row r="6" spans="1:33" x14ac:dyDescent="0.35">
      <c r="A6" s="2" t="s">
        <v>2</v>
      </c>
      <c r="B6" s="20">
        <f t="shared" ref="B6:B9" si="1">D6+F6+H6+J6+L6+N6+P6+R6+T6+V6+X6+Z6+AB6+AD6+AF6</f>
        <v>1516</v>
      </c>
      <c r="C6" s="21">
        <f t="shared" si="0"/>
        <v>407277660</v>
      </c>
      <c r="D6" s="22">
        <v>300</v>
      </c>
      <c r="E6" s="23">
        <v>85370650</v>
      </c>
      <c r="F6" s="22">
        <v>39</v>
      </c>
      <c r="G6" s="23">
        <v>10019510</v>
      </c>
      <c r="H6" s="22">
        <v>454</v>
      </c>
      <c r="I6" s="23">
        <v>103382420</v>
      </c>
      <c r="J6" s="22">
        <v>8</v>
      </c>
      <c r="K6" s="23">
        <v>1819320</v>
      </c>
      <c r="L6" s="22">
        <v>68</v>
      </c>
      <c r="M6" s="23">
        <v>19585380</v>
      </c>
      <c r="N6" s="22">
        <v>101</v>
      </c>
      <c r="O6" s="23">
        <v>29188810</v>
      </c>
      <c r="P6" s="22">
        <v>50</v>
      </c>
      <c r="Q6" s="23">
        <v>13512240</v>
      </c>
      <c r="R6" s="22">
        <v>8</v>
      </c>
      <c r="S6" s="23">
        <v>1863550</v>
      </c>
      <c r="T6" s="22">
        <v>86</v>
      </c>
      <c r="U6" s="23">
        <v>22192230</v>
      </c>
      <c r="V6" s="22">
        <v>73</v>
      </c>
      <c r="W6" s="23">
        <v>17464110</v>
      </c>
      <c r="X6" s="22">
        <v>1</v>
      </c>
      <c r="Y6" s="23">
        <v>258610</v>
      </c>
      <c r="Z6" s="22">
        <v>86</v>
      </c>
      <c r="AA6" s="23">
        <v>17664210</v>
      </c>
      <c r="AB6" s="22">
        <v>43</v>
      </c>
      <c r="AC6" s="23">
        <v>20516590</v>
      </c>
      <c r="AD6" s="22">
        <v>179</v>
      </c>
      <c r="AE6" s="23">
        <v>60364140</v>
      </c>
      <c r="AF6" s="22">
        <v>20</v>
      </c>
      <c r="AG6" s="23">
        <v>4075890</v>
      </c>
    </row>
    <row r="7" spans="1:33" x14ac:dyDescent="0.35">
      <c r="A7" s="2" t="s">
        <v>3</v>
      </c>
      <c r="B7" s="20">
        <f t="shared" si="1"/>
        <v>2156</v>
      </c>
      <c r="C7" s="21">
        <f>E7+G7+I7+K7+M7+O7+Q7+S7+U7+W7+Y7+AA7+AC7+AE7+AG7</f>
        <v>520705220</v>
      </c>
      <c r="D7" s="22">
        <v>216</v>
      </c>
      <c r="E7" s="23">
        <v>63491570</v>
      </c>
      <c r="F7" s="22">
        <v>45</v>
      </c>
      <c r="G7" s="23">
        <v>10159020</v>
      </c>
      <c r="H7" s="22">
        <v>678</v>
      </c>
      <c r="I7" s="23">
        <v>154274360</v>
      </c>
      <c r="J7" s="22">
        <v>8</v>
      </c>
      <c r="K7" s="23">
        <v>2140410</v>
      </c>
      <c r="L7" s="22">
        <v>344</v>
      </c>
      <c r="M7" s="23">
        <v>82793410</v>
      </c>
      <c r="N7" s="22">
        <v>53</v>
      </c>
      <c r="O7" s="23">
        <v>14185040</v>
      </c>
      <c r="P7" s="22">
        <v>42</v>
      </c>
      <c r="Q7" s="23">
        <v>17075050</v>
      </c>
      <c r="R7" s="22">
        <v>43</v>
      </c>
      <c r="S7" s="23">
        <v>8515850</v>
      </c>
      <c r="T7" s="22">
        <v>160</v>
      </c>
      <c r="U7" s="23">
        <v>34816240</v>
      </c>
      <c r="V7" s="22">
        <v>142</v>
      </c>
      <c r="W7" s="23">
        <v>39152570</v>
      </c>
      <c r="X7" s="22">
        <v>0</v>
      </c>
      <c r="Y7" s="23">
        <v>0</v>
      </c>
      <c r="Z7" s="22">
        <v>105</v>
      </c>
      <c r="AA7" s="23">
        <v>25415290</v>
      </c>
      <c r="AB7" s="22">
        <v>100</v>
      </c>
      <c r="AC7" s="23">
        <v>21612820</v>
      </c>
      <c r="AD7" s="22">
        <v>186</v>
      </c>
      <c r="AE7" s="23">
        <v>39046330</v>
      </c>
      <c r="AF7" s="22">
        <v>34</v>
      </c>
      <c r="AG7" s="23">
        <v>8027260</v>
      </c>
    </row>
    <row r="8" spans="1:33" x14ac:dyDescent="0.35">
      <c r="A8" s="2" t="s">
        <v>4</v>
      </c>
      <c r="B8" s="20">
        <f t="shared" si="1"/>
        <v>2907</v>
      </c>
      <c r="C8" s="21">
        <f t="shared" si="0"/>
        <v>775275000</v>
      </c>
      <c r="D8" s="22">
        <v>371</v>
      </c>
      <c r="E8" s="23">
        <v>122824550</v>
      </c>
      <c r="F8" s="22">
        <v>91</v>
      </c>
      <c r="G8" s="23">
        <v>22632580</v>
      </c>
      <c r="H8" s="22">
        <v>856</v>
      </c>
      <c r="I8" s="23">
        <v>223402850</v>
      </c>
      <c r="J8" s="22">
        <v>20</v>
      </c>
      <c r="K8" s="23">
        <v>2955370</v>
      </c>
      <c r="L8" s="22">
        <v>423</v>
      </c>
      <c r="M8" s="23">
        <v>100384500</v>
      </c>
      <c r="N8" s="22">
        <v>180</v>
      </c>
      <c r="O8" s="23">
        <v>69428490</v>
      </c>
      <c r="P8" s="22">
        <v>53</v>
      </c>
      <c r="Q8" s="23">
        <v>14303130</v>
      </c>
      <c r="R8" s="22">
        <v>43</v>
      </c>
      <c r="S8" s="23">
        <v>8886550</v>
      </c>
      <c r="T8" s="22">
        <v>142</v>
      </c>
      <c r="U8" s="23">
        <v>29756940</v>
      </c>
      <c r="V8" s="22">
        <v>198</v>
      </c>
      <c r="W8" s="23">
        <v>46230660</v>
      </c>
      <c r="X8" s="22">
        <v>92</v>
      </c>
      <c r="Y8" s="23">
        <v>43744620</v>
      </c>
      <c r="Z8" s="22">
        <v>109</v>
      </c>
      <c r="AA8" s="23">
        <v>21501010</v>
      </c>
      <c r="AB8" s="22">
        <v>108</v>
      </c>
      <c r="AC8" s="23">
        <v>20383150</v>
      </c>
      <c r="AD8" s="22">
        <v>195</v>
      </c>
      <c r="AE8" s="23">
        <v>44705360</v>
      </c>
      <c r="AF8" s="22">
        <v>26</v>
      </c>
      <c r="AG8" s="23">
        <v>4135240</v>
      </c>
    </row>
    <row r="9" spans="1:33" x14ac:dyDescent="0.35">
      <c r="A9" s="3" t="s">
        <v>5</v>
      </c>
      <c r="B9" s="24">
        <f t="shared" si="1"/>
        <v>5288</v>
      </c>
      <c r="C9" s="25">
        <f t="shared" si="0"/>
        <v>1366970360</v>
      </c>
      <c r="D9" s="7">
        <v>362</v>
      </c>
      <c r="E9" s="8">
        <v>109026850</v>
      </c>
      <c r="F9" s="7">
        <v>398</v>
      </c>
      <c r="G9" s="8">
        <v>106133150</v>
      </c>
      <c r="H9" s="7">
        <v>1251</v>
      </c>
      <c r="I9" s="8">
        <v>305409040</v>
      </c>
      <c r="J9" s="7">
        <v>15</v>
      </c>
      <c r="K9" s="8">
        <v>4161890</v>
      </c>
      <c r="L9" s="7">
        <v>846</v>
      </c>
      <c r="M9" s="8">
        <v>237115560</v>
      </c>
      <c r="N9" s="7">
        <v>232</v>
      </c>
      <c r="O9" s="8">
        <v>89055210</v>
      </c>
      <c r="P9" s="7">
        <v>188</v>
      </c>
      <c r="Q9" s="8">
        <v>53910560</v>
      </c>
      <c r="R9" s="7">
        <v>70</v>
      </c>
      <c r="S9" s="8">
        <v>19113270</v>
      </c>
      <c r="T9" s="7">
        <v>366</v>
      </c>
      <c r="U9" s="8">
        <v>84209810</v>
      </c>
      <c r="V9" s="7">
        <v>333</v>
      </c>
      <c r="W9" s="8">
        <v>73708360</v>
      </c>
      <c r="X9" s="7">
        <v>158</v>
      </c>
      <c r="Y9" s="8">
        <v>59234100</v>
      </c>
      <c r="Z9" s="7">
        <v>412</v>
      </c>
      <c r="AA9" s="8">
        <v>89233400</v>
      </c>
      <c r="AB9" s="7">
        <v>232</v>
      </c>
      <c r="AC9" s="8">
        <v>47900770</v>
      </c>
      <c r="AD9" s="7">
        <v>272</v>
      </c>
      <c r="AE9" s="8">
        <v>58793030</v>
      </c>
      <c r="AF9" s="7">
        <v>153</v>
      </c>
      <c r="AG9" s="8">
        <v>29965360</v>
      </c>
    </row>
    <row r="10" spans="1:33" x14ac:dyDescent="0.35">
      <c r="A10" s="6" t="s">
        <v>29</v>
      </c>
      <c r="B10" s="24">
        <f>D10+F10+H10+J10+L10+N10+P10+R10+T10+V10+X10+Z10+AB10+AD10+AF10</f>
        <v>2999</v>
      </c>
      <c r="C10" s="25">
        <f>E10+G10+I10+K10+M10+O10+Q10+S10+U10+W10+Y10+AA10+AC10+AE10+AG10</f>
        <v>800110870</v>
      </c>
      <c r="D10" s="7">
        <v>205</v>
      </c>
      <c r="E10" s="8">
        <v>67457250</v>
      </c>
      <c r="F10" s="7">
        <v>86</v>
      </c>
      <c r="G10" s="8">
        <v>18635010</v>
      </c>
      <c r="H10" s="7">
        <v>1074</v>
      </c>
      <c r="I10" s="8">
        <v>270700230</v>
      </c>
      <c r="J10" s="7">
        <v>27</v>
      </c>
      <c r="K10" s="8">
        <v>8196890</v>
      </c>
      <c r="L10" s="7">
        <v>478</v>
      </c>
      <c r="M10" s="8">
        <v>143122750</v>
      </c>
      <c r="N10" s="7">
        <v>103</v>
      </c>
      <c r="O10" s="8">
        <v>37597600</v>
      </c>
      <c r="P10" s="7">
        <v>39</v>
      </c>
      <c r="Q10" s="8">
        <v>16045680</v>
      </c>
      <c r="R10" s="7">
        <v>29</v>
      </c>
      <c r="S10" s="8">
        <v>8591320</v>
      </c>
      <c r="T10" s="7">
        <v>252</v>
      </c>
      <c r="U10" s="8">
        <v>60475820</v>
      </c>
      <c r="V10" s="7">
        <v>170</v>
      </c>
      <c r="W10" s="8">
        <v>41729890</v>
      </c>
      <c r="X10" s="7">
        <v>80</v>
      </c>
      <c r="Y10" s="8">
        <v>29419710</v>
      </c>
      <c r="Z10" s="7">
        <v>178</v>
      </c>
      <c r="AA10" s="8">
        <v>38695640</v>
      </c>
      <c r="AB10" s="7">
        <v>124</v>
      </c>
      <c r="AC10" s="8">
        <v>25954210</v>
      </c>
      <c r="AD10" s="7">
        <v>133</v>
      </c>
      <c r="AE10" s="8">
        <v>29703500</v>
      </c>
      <c r="AF10" s="7">
        <v>21</v>
      </c>
      <c r="AG10" s="8">
        <v>3785370</v>
      </c>
    </row>
    <row r="11" spans="1:33" ht="24" thickBot="1" x14ac:dyDescent="0.4">
      <c r="A11" s="26" t="s">
        <v>6</v>
      </c>
      <c r="B11" s="27">
        <f t="shared" ref="B11:G11" si="2">SUM(B4:B10)</f>
        <v>20124</v>
      </c>
      <c r="C11" s="28">
        <f t="shared" si="2"/>
        <v>5287702440</v>
      </c>
      <c r="D11" s="29">
        <f t="shared" si="2"/>
        <v>2127</v>
      </c>
      <c r="E11" s="28">
        <f t="shared" si="2"/>
        <v>660703410</v>
      </c>
      <c r="F11" s="29">
        <f t="shared" si="2"/>
        <v>887</v>
      </c>
      <c r="G11" s="28">
        <f t="shared" si="2"/>
        <v>242955040</v>
      </c>
      <c r="H11" s="29">
        <f t="shared" ref="H11:AG11" si="3">SUM(H4:H10)</f>
        <v>5831</v>
      </c>
      <c r="I11" s="28">
        <f t="shared" si="3"/>
        <v>1409659190</v>
      </c>
      <c r="J11" s="29">
        <f t="shared" si="3"/>
        <v>153</v>
      </c>
      <c r="K11" s="28">
        <f t="shared" si="3"/>
        <v>33947100</v>
      </c>
      <c r="L11" s="29">
        <f t="shared" si="3"/>
        <v>2265</v>
      </c>
      <c r="M11" s="28">
        <f t="shared" si="3"/>
        <v>605646600</v>
      </c>
      <c r="N11" s="29">
        <f t="shared" si="3"/>
        <v>963</v>
      </c>
      <c r="O11" s="28">
        <f t="shared" si="3"/>
        <v>342798550</v>
      </c>
      <c r="P11" s="29">
        <f t="shared" si="3"/>
        <v>557</v>
      </c>
      <c r="Q11" s="28">
        <f t="shared" si="3"/>
        <v>159646250</v>
      </c>
      <c r="R11" s="29">
        <f t="shared" si="3"/>
        <v>270</v>
      </c>
      <c r="S11" s="28">
        <f t="shared" si="3"/>
        <v>65687630</v>
      </c>
      <c r="T11" s="29">
        <f t="shared" si="3"/>
        <v>1200</v>
      </c>
      <c r="U11" s="28">
        <f t="shared" si="3"/>
        <v>273261380</v>
      </c>
      <c r="V11" s="29">
        <f t="shared" si="3"/>
        <v>1263</v>
      </c>
      <c r="W11" s="28">
        <f t="shared" si="3"/>
        <v>296517930</v>
      </c>
      <c r="X11" s="29">
        <f t="shared" si="3"/>
        <v>340</v>
      </c>
      <c r="Y11" s="28">
        <f t="shared" si="3"/>
        <v>136175540</v>
      </c>
      <c r="Z11" s="29">
        <f t="shared" si="3"/>
        <v>1143</v>
      </c>
      <c r="AA11" s="28">
        <f t="shared" si="3"/>
        <v>245940780</v>
      </c>
      <c r="AB11" s="29">
        <f t="shared" si="3"/>
        <v>871</v>
      </c>
      <c r="AC11" s="28">
        <f t="shared" si="3"/>
        <v>201958610</v>
      </c>
      <c r="AD11" s="29">
        <f t="shared" si="3"/>
        <v>1872</v>
      </c>
      <c r="AE11" s="28">
        <f t="shared" si="3"/>
        <v>534308470</v>
      </c>
      <c r="AF11" s="29">
        <f t="shared" si="3"/>
        <v>382</v>
      </c>
      <c r="AG11" s="28">
        <f t="shared" si="3"/>
        <v>78495960</v>
      </c>
    </row>
    <row r="12" spans="1:33" x14ac:dyDescent="0.3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6" spans="1:33" ht="21" customHeight="1" x14ac:dyDescent="0.35"/>
    <row r="17" hidden="1" x14ac:dyDescent="0.35"/>
    <row r="18" hidden="1" x14ac:dyDescent="0.35"/>
  </sheetData>
  <mergeCells count="18">
    <mergeCell ref="A1:AG1"/>
    <mergeCell ref="P2:Q2"/>
    <mergeCell ref="R2:S2"/>
    <mergeCell ref="T2:U2"/>
    <mergeCell ref="V2:W2"/>
    <mergeCell ref="X2:Y2"/>
    <mergeCell ref="Z2:AA2"/>
    <mergeCell ref="D2:E2"/>
    <mergeCell ref="F2:G2"/>
    <mergeCell ref="H2:I2"/>
    <mergeCell ref="J2:K2"/>
    <mergeCell ref="L2:M2"/>
    <mergeCell ref="N2:O2"/>
    <mergeCell ref="B2:C2"/>
    <mergeCell ref="A2:A3"/>
    <mergeCell ref="AB2:AC2"/>
    <mergeCell ref="AD2:AE2"/>
    <mergeCell ref="AF2:AG2"/>
  </mergeCells>
  <phoneticPr fontId="1" type="noConversion"/>
  <pageMargins left="0.7" right="0.7" top="0.75" bottom="0.75" header="0.3" footer="0.3"/>
  <pageSetup paperSize="172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E527-9E67-48E0-9264-2FF1CAE431CC}">
  <dimension ref="A1:D19"/>
  <sheetViews>
    <sheetView workbookViewId="0">
      <selection activeCell="G20" sqref="G20"/>
    </sheetView>
  </sheetViews>
  <sheetFormatPr defaultRowHeight="15.75" x14ac:dyDescent="0.25"/>
  <cols>
    <col min="1" max="1" width="8" style="30" bestFit="1" customWidth="1"/>
    <col min="2" max="2" width="19.85546875" style="30" bestFit="1" customWidth="1"/>
    <col min="3" max="3" width="9" style="34" bestFit="1" customWidth="1"/>
    <col min="4" max="4" width="16" style="34" bestFit="1" customWidth="1"/>
    <col min="5" max="16384" width="9.140625" style="30"/>
  </cols>
  <sheetData>
    <row r="1" spans="1:4" ht="45.75" customHeight="1" x14ac:dyDescent="0.25">
      <c r="A1" s="51" t="s">
        <v>28</v>
      </c>
      <c r="B1" s="52"/>
      <c r="C1" s="52"/>
      <c r="D1" s="52"/>
    </row>
    <row r="2" spans="1:4" x14ac:dyDescent="0.25">
      <c r="A2" s="35" t="s">
        <v>30</v>
      </c>
      <c r="B2" s="35" t="s">
        <v>31</v>
      </c>
      <c r="C2" s="36" t="s">
        <v>7</v>
      </c>
      <c r="D2" s="36" t="s">
        <v>8</v>
      </c>
    </row>
    <row r="3" spans="1:4" x14ac:dyDescent="0.25">
      <c r="A3" s="31">
        <v>1</v>
      </c>
      <c r="B3" s="32" t="s">
        <v>19</v>
      </c>
      <c r="C3" s="33">
        <v>6404</v>
      </c>
      <c r="D3" s="33">
        <v>1560793870</v>
      </c>
    </row>
    <row r="4" spans="1:4" x14ac:dyDescent="0.25">
      <c r="A4" s="31">
        <v>2</v>
      </c>
      <c r="B4" s="32" t="s">
        <v>11</v>
      </c>
      <c r="C4" s="33">
        <v>2767</v>
      </c>
      <c r="D4" s="33">
        <v>759968750</v>
      </c>
    </row>
    <row r="5" spans="1:4" x14ac:dyDescent="0.25">
      <c r="A5" s="31">
        <v>3</v>
      </c>
      <c r="B5" s="32" t="s">
        <v>32</v>
      </c>
      <c r="C5" s="33">
        <v>2273</v>
      </c>
      <c r="D5" s="33">
        <v>706238690</v>
      </c>
    </row>
    <row r="6" spans="1:4" x14ac:dyDescent="0.25">
      <c r="A6" s="31">
        <v>4</v>
      </c>
      <c r="B6" s="32" t="s">
        <v>14</v>
      </c>
      <c r="C6" s="33">
        <v>1958</v>
      </c>
      <c r="D6" s="33">
        <v>554055170</v>
      </c>
    </row>
    <row r="7" spans="1:4" x14ac:dyDescent="0.25">
      <c r="A7" s="31">
        <v>5</v>
      </c>
      <c r="B7" s="32" t="s">
        <v>17</v>
      </c>
      <c r="C7" s="33">
        <v>1142</v>
      </c>
      <c r="D7" s="33">
        <v>417668720</v>
      </c>
    </row>
    <row r="8" spans="1:4" x14ac:dyDescent="0.25">
      <c r="A8" s="31">
        <v>6</v>
      </c>
      <c r="B8" s="32" t="s">
        <v>13</v>
      </c>
      <c r="C8" s="33">
        <v>1240</v>
      </c>
      <c r="D8" s="33">
        <v>338929170</v>
      </c>
    </row>
    <row r="9" spans="1:4" x14ac:dyDescent="0.25">
      <c r="A9" s="31">
        <v>7</v>
      </c>
      <c r="B9" s="32" t="s">
        <v>20</v>
      </c>
      <c r="C9" s="33">
        <v>1454</v>
      </c>
      <c r="D9" s="33">
        <v>331073720</v>
      </c>
    </row>
    <row r="10" spans="1:4" x14ac:dyDescent="0.25">
      <c r="A10" s="31">
        <v>8</v>
      </c>
      <c r="B10" s="32" t="s">
        <v>25</v>
      </c>
      <c r="C10" s="33">
        <v>1406</v>
      </c>
      <c r="D10" s="33">
        <v>322654950</v>
      </c>
    </row>
    <row r="11" spans="1:4" x14ac:dyDescent="0.25">
      <c r="A11" s="31">
        <v>9</v>
      </c>
      <c r="B11" s="32" t="s">
        <v>10</v>
      </c>
      <c r="C11" s="33">
        <v>1450</v>
      </c>
      <c r="D11" s="33">
        <v>309758890</v>
      </c>
    </row>
    <row r="12" spans="1:4" x14ac:dyDescent="0.25">
      <c r="A12" s="31">
        <v>10</v>
      </c>
      <c r="B12" s="32" t="s">
        <v>18</v>
      </c>
      <c r="C12" s="33">
        <v>1003</v>
      </c>
      <c r="D12" s="33">
        <v>228246560</v>
      </c>
    </row>
    <row r="13" spans="1:4" x14ac:dyDescent="0.25">
      <c r="A13" s="31">
        <v>11</v>
      </c>
      <c r="B13" s="32" t="s">
        <v>22</v>
      </c>
      <c r="C13" s="33">
        <v>703</v>
      </c>
      <c r="D13" s="33">
        <v>196481760</v>
      </c>
    </row>
    <row r="14" spans="1:4" x14ac:dyDescent="0.25">
      <c r="A14" s="31">
        <v>12</v>
      </c>
      <c r="B14" s="32" t="s">
        <v>33</v>
      </c>
      <c r="C14" s="33">
        <v>498</v>
      </c>
      <c r="D14" s="33">
        <v>195409640</v>
      </c>
    </row>
    <row r="15" spans="1:4" x14ac:dyDescent="0.25">
      <c r="A15" s="31">
        <v>13</v>
      </c>
      <c r="B15" s="32" t="s">
        <v>16</v>
      </c>
      <c r="C15" s="33">
        <v>501</v>
      </c>
      <c r="D15" s="33">
        <v>100434060</v>
      </c>
    </row>
    <row r="16" spans="1:4" x14ac:dyDescent="0.25">
      <c r="A16" s="31">
        <v>14</v>
      </c>
      <c r="B16" s="32" t="s">
        <v>12</v>
      </c>
      <c r="C16" s="33">
        <v>297</v>
      </c>
      <c r="D16" s="33">
        <v>76285050</v>
      </c>
    </row>
    <row r="17" spans="1:4" x14ac:dyDescent="0.25">
      <c r="A17" s="31">
        <v>15</v>
      </c>
      <c r="B17" s="32" t="s">
        <v>15</v>
      </c>
      <c r="C17" s="33">
        <v>160</v>
      </c>
      <c r="D17" s="33">
        <v>35968580</v>
      </c>
    </row>
    <row r="18" spans="1:4" x14ac:dyDescent="0.25">
      <c r="A18" s="32"/>
      <c r="B18" s="32"/>
      <c r="C18" s="33"/>
      <c r="D18" s="33"/>
    </row>
    <row r="19" spans="1:4" x14ac:dyDescent="0.25">
      <c r="A19" s="37" t="s">
        <v>34</v>
      </c>
      <c r="B19" s="37"/>
      <c r="C19" s="38">
        <v>23256</v>
      </c>
      <c r="D19" s="38">
        <v>6133967580</v>
      </c>
    </row>
  </sheetData>
  <sortState xmlns:xlrd2="http://schemas.microsoft.com/office/spreadsheetml/2017/richdata2" ref="A3:D17">
    <sortCondition descending="1" ref="D3:D17"/>
  </sortState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</dc:creator>
  <cp:lastModifiedBy>LEK</cp:lastModifiedBy>
  <dcterms:created xsi:type="dcterms:W3CDTF">2015-06-05T18:19:34Z</dcterms:created>
  <dcterms:modified xsi:type="dcterms:W3CDTF">2026-07-20T10:45:31Z</dcterms:modified>
</cp:coreProperties>
</file>