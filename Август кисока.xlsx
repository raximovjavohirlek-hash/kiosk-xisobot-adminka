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Жами" sheetId="1" state="visible" r:id="rId1"/>
    <sheet xmlns:r="http://schemas.openxmlformats.org/officeDocument/2006/relationships" name="Худудлар" sheetId="2" state="visible" r:id="rId2"/>
    <sheet xmlns:r="http://schemas.openxmlformats.org/officeDocument/2006/relationships" name="Лист1" sheetId="3" state="visible" r:id="rId3"/>
    <sheet xmlns:r="http://schemas.openxmlformats.org/officeDocument/2006/relationships" name="Ойлар кесимида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₽_-;\-* #,##0\ _₽_-;_-* &quot;-&quot;\ _₽_-;_-@_-"/>
    <numFmt numFmtId="165" formatCode="#,##0\ _₽"/>
  </numFmts>
  <fonts count="15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212529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000000"/>
      <sz val="2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5999938962981048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9" fillId="0" borderId="0"/>
    <xf numFmtId="0" fontId="8" fillId="0" borderId="0"/>
    <xf numFmtId="43" fontId="9" fillId="0" borderId="0"/>
    <xf numFmtId="0" fontId="10" fillId="0" borderId="0"/>
  </cellStyleXfs>
  <cellXfs count="130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2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7" fillId="5" borderId="12" applyAlignment="1" pivotButton="0" quotePrefix="0" xfId="0">
      <alignment horizontal="center" vertical="center"/>
    </xf>
    <xf numFmtId="164" fontId="0" fillId="0" borderId="0" pivotButton="0" quotePrefix="0" xfId="0"/>
    <xf numFmtId="0" fontId="3" fillId="6" borderId="27" applyAlignment="1" pivotButton="0" quotePrefix="0" xfId="0">
      <alignment horizontal="center" vertical="center"/>
    </xf>
    <xf numFmtId="164" fontId="6" fillId="0" borderId="2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64" fontId="3" fillId="3" borderId="2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/>
    </xf>
    <xf numFmtId="0" fontId="1" fillId="5" borderId="27" applyAlignment="1" pivotButton="0" quotePrefix="0" xfId="0">
      <alignment vertical="center"/>
    </xf>
    <xf numFmtId="0" fontId="1" fillId="5" borderId="27" pivotButton="0" quotePrefix="0" xfId="0"/>
    <xf numFmtId="0" fontId="3" fillId="6" borderId="30" applyAlignment="1" pivotButton="0" quotePrefix="0" xfId="0">
      <alignment horizontal="center" vertical="center"/>
    </xf>
    <xf numFmtId="164" fontId="7" fillId="5" borderId="13" applyAlignment="1" pivotButton="0" quotePrefix="0" xfId="0">
      <alignment horizontal="center" vertical="center"/>
    </xf>
    <xf numFmtId="14" fontId="2" fillId="0" borderId="32" applyAlignment="1" pivotButton="0" quotePrefix="0" xfId="0">
      <alignment horizontal="center" vertical="center"/>
    </xf>
    <xf numFmtId="14" fontId="3" fillId="5" borderId="33" applyAlignment="1" pivotButton="0" quotePrefix="0" xfId="0">
      <alignment horizontal="center" vertical="center"/>
    </xf>
    <xf numFmtId="164" fontId="3" fillId="5" borderId="31" applyAlignment="1" pivotButton="0" quotePrefix="0" xfId="0">
      <alignment horizontal="center" vertical="center"/>
    </xf>
    <xf numFmtId="164" fontId="3" fillId="5" borderId="13" applyAlignment="1" pivotButton="0" quotePrefix="0" xfId="0">
      <alignment horizontal="center" vertical="center"/>
    </xf>
    <xf numFmtId="165" fontId="3" fillId="5" borderId="12" applyAlignment="1" pivotButton="0" quotePrefix="0" xfId="0">
      <alignment horizontal="center" vertical="center"/>
    </xf>
    <xf numFmtId="165" fontId="3" fillId="5" borderId="13" applyAlignment="1" pivotButton="0" quotePrefix="0" xfId="0">
      <alignment horizontal="center" vertical="center"/>
    </xf>
    <xf numFmtId="165" fontId="3" fillId="5" borderId="31" applyAlignment="1" pivotButton="0" quotePrefix="0" xfId="0">
      <alignment horizontal="center" vertical="center"/>
    </xf>
    <xf numFmtId="164" fontId="2" fillId="3" borderId="34" applyAlignment="1" pivotButton="0" quotePrefix="0" xfId="0">
      <alignment horizontal="center" vertical="center"/>
    </xf>
    <xf numFmtId="164" fontId="2" fillId="3" borderId="35" applyAlignment="1" pivotButton="0" quotePrefix="0" xfId="0">
      <alignment horizontal="center" vertical="center"/>
    </xf>
    <xf numFmtId="165" fontId="4" fillId="0" borderId="20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14" fontId="1" fillId="0" borderId="32" applyAlignment="1" pivotButton="0" quotePrefix="0" xfId="0">
      <alignment horizontal="center" vertical="center"/>
    </xf>
    <xf numFmtId="0" fontId="7" fillId="5" borderId="3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  <xf numFmtId="164" fontId="1" fillId="3" borderId="6" applyAlignment="1" pivotButton="0" quotePrefix="0" xfId="0">
      <alignment horizontal="center" vertical="center"/>
    </xf>
    <xf numFmtId="164" fontId="6" fillId="0" borderId="20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5" fontId="6" fillId="0" borderId="27" applyAlignment="1" pivotButton="0" quotePrefix="0" xfId="0">
      <alignment horizontal="center"/>
    </xf>
    <xf numFmtId="0" fontId="3" fillId="5" borderId="27" applyAlignment="1" pivotButton="0" quotePrefix="0" xfId="0">
      <alignment horizontal="center" vertical="center"/>
    </xf>
    <xf numFmtId="165" fontId="3" fillId="5" borderId="27" applyAlignment="1" pivotButton="0" quotePrefix="0" xfId="0">
      <alignment horizontal="center"/>
    </xf>
    <xf numFmtId="164" fontId="6" fillId="0" borderId="6" applyAlignment="1" pivotButton="0" quotePrefix="0" xfId="2">
      <alignment horizontal="center" vertical="center"/>
    </xf>
    <xf numFmtId="0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3" fillId="4" borderId="36" applyAlignment="1" pivotButton="0" quotePrefix="0" xfId="0">
      <alignment horizontal="center" vertical="center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/>
    </xf>
    <xf numFmtId="165" fontId="3" fillId="3" borderId="27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/>
    </xf>
    <xf numFmtId="165" fontId="3" fillId="5" borderId="27" applyAlignment="1" pivotButton="0" quotePrefix="0" xfId="0">
      <alignment horizontal="center" vertical="center"/>
    </xf>
    <xf numFmtId="164" fontId="1" fillId="3" borderId="37" applyAlignment="1" pivotButton="0" quotePrefix="0" xfId="0">
      <alignment horizontal="center" vertical="center"/>
    </xf>
    <xf numFmtId="164" fontId="1" fillId="3" borderId="38" applyAlignment="1" pivotButton="0" quotePrefix="0" xfId="0">
      <alignment horizontal="center" vertical="center"/>
    </xf>
    <xf numFmtId="164" fontId="6" fillId="0" borderId="37" applyAlignment="1" pivotButton="0" quotePrefix="0" xfId="0">
      <alignment horizontal="center" vertical="center"/>
    </xf>
    <xf numFmtId="164" fontId="6" fillId="0" borderId="38" applyAlignment="1" pivotButton="0" quotePrefix="0" xfId="0">
      <alignment horizontal="center" vertical="center"/>
    </xf>
    <xf numFmtId="165" fontId="4" fillId="0" borderId="37" applyAlignment="1" pivotButton="0" quotePrefix="0" xfId="0">
      <alignment horizontal="center" vertical="center"/>
    </xf>
    <xf numFmtId="165" fontId="4" fillId="0" borderId="38" applyAlignment="1" pivotButton="0" quotePrefix="0" xfId="0">
      <alignment horizontal="center" vertical="center"/>
    </xf>
    <xf numFmtId="165" fontId="4" fillId="0" borderId="39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3" borderId="20" applyAlignment="1" pivotButton="0" quotePrefix="0" xfId="0">
      <alignment horizontal="center" vertical="center"/>
    </xf>
    <xf numFmtId="0" fontId="11" fillId="3" borderId="21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2" fillId="4" borderId="12" applyAlignment="1" pivotButton="0" quotePrefix="0" xfId="0">
      <alignment horizontal="center" vertical="center" wrapText="1"/>
    </xf>
    <xf numFmtId="164" fontId="12" fillId="4" borderId="14" applyAlignment="1" pivotButton="0" quotePrefix="0" xfId="0">
      <alignment horizontal="center" vertical="center"/>
    </xf>
    <xf numFmtId="164" fontId="12" fillId="4" borderId="13" applyAlignment="1" pivotButton="0" quotePrefix="0" xfId="0">
      <alignment horizontal="center" vertical="center"/>
    </xf>
    <xf numFmtId="165" fontId="14" fillId="7" borderId="25" applyAlignment="1" pivotButton="0" quotePrefix="0" xfId="0">
      <alignment horizontal="center" vertical="center"/>
    </xf>
    <xf numFmtId="165" fontId="14" fillId="7" borderId="26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31" pivotButton="0" quotePrefix="0" xfId="0"/>
    <xf numFmtId="0" fontId="3" fillId="0" borderId="3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3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4" pivotButton="0" quotePrefix="0" xfId="0"/>
    <xf numFmtId="0" fontId="0" fillId="0" borderId="17" pivotButton="0" quotePrefix="0" xfId="0"/>
    <xf numFmtId="0" fontId="11" fillId="0" borderId="33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2" pivotButton="0" quotePrefix="0" xfId="0"/>
    <xf numFmtId="0" fontId="0" fillId="0" borderId="44" pivotButton="0" quotePrefix="0" xfId="0"/>
    <xf numFmtId="0" fontId="0" fillId="0" borderId="45" pivotButton="0" quotePrefix="0" xfId="0"/>
    <xf numFmtId="165" fontId="14" fillId="7" borderId="33" applyAlignment="1" pivotButton="0" quotePrefix="0" xfId="0">
      <alignment horizontal="center" vertical="center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" pivotButton="0" quotePrefix="0" xfId="0"/>
    <xf numFmtId="0" fontId="0" fillId="0" borderId="49" pivotButton="0" quotePrefix="0" xfId="0"/>
  </cellXfs>
  <cellStyles count="4">
    <cellStyle name="Обычный" xfId="0" builtinId="0"/>
    <cellStyle name="Обычный 2" xfId="1"/>
    <cellStyle name="Финансовый" xfId="2" builtinId="3"/>
    <cellStyle name="Обычный 3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(чипталар суммаси)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elete val="1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Лист1!$C$4:$C$18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88</v>
                </pt>
                <pt idx="2">
                  <v>112</v>
                </pt>
                <pt idx="3">
                  <v>84</v>
                </pt>
                <pt idx="4">
                  <v>72</v>
                </pt>
                <pt idx="5">
                  <v>79</v>
                </pt>
                <pt idx="6">
                  <v>39</v>
                </pt>
                <pt idx="7">
                  <v>52</v>
                </pt>
                <pt idx="8">
                  <v>58</v>
                </pt>
                <pt idx="9">
                  <v>52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Лист1!$D$4:$D$18</f>
              <numCache>
                <formatCode>_-* #\ ##0\ _₽_-;\-* #\ ##0\ _₽_-;_-* "-"\ _₽_-;_-@_-</formatCode>
                <ptCount val="15"/>
                <pt idx="0">
                  <v>82516090</v>
                </pt>
                <pt idx="1">
                  <v>42760730</v>
                </pt>
                <pt idx="2">
                  <v>33577830</v>
                </pt>
                <pt idx="3">
                  <v>31046510</v>
                </pt>
                <pt idx="4">
                  <v>25931700</v>
                </pt>
                <pt idx="5">
                  <v>17283030</v>
                </pt>
                <pt idx="6">
                  <v>16196800</v>
                </pt>
                <pt idx="7">
                  <v>14278470</v>
                </pt>
                <pt idx="8">
                  <v>11939950</v>
                </pt>
                <pt idx="9">
                  <v>11682840</v>
                </pt>
                <pt idx="10">
                  <v>3721600</v>
                </pt>
                <pt idx="11">
                  <v>2366630</v>
                </pt>
                <pt idx="12">
                  <v>1689160</v>
                </pt>
                <pt idx="13">
                  <v>1627930</v>
                </pt>
                <pt idx="14">
                  <v>1058100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26729423"/>
        <axId val="1026725103"/>
      </barChart>
      <catAx>
        <axId val="1026729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5103"/>
        <crosses val="autoZero"/>
        <auto val="1"/>
        <lblAlgn val="ctr"/>
        <lblOffset val="100"/>
        <noMultiLvlLbl val="0"/>
      </catAx>
      <valAx>
        <axId val="1026725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9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сотилган (чипталар сони)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420281103694081"/>
          <y val="0.08811299462312518"/>
          <w val="0.9496297565314796"/>
          <h val="0.844684399633489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Лист1!$B$27:$B$41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Нукус</v>
                </pt>
                <pt idx="3">
                  <v>Тошкент Жанубий</v>
                </pt>
                <pt idx="4">
                  <v>Карши</v>
                </pt>
                <pt idx="5">
                  <v>Тошкент Шимолий</v>
                </pt>
                <pt idx="6">
                  <v>Қўқон</v>
                </pt>
                <pt idx="7">
                  <v>Термиз</v>
                </pt>
                <pt idx="8">
                  <v>Андижон</v>
                </pt>
                <pt idx="9">
                  <v>Қўнғрод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Лист1!$C$27:$C$41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112</v>
                </pt>
                <pt idx="2">
                  <v>88</v>
                </pt>
                <pt idx="3">
                  <v>84</v>
                </pt>
                <pt idx="4">
                  <v>79</v>
                </pt>
                <pt idx="5">
                  <v>72</v>
                </pt>
                <pt idx="6">
                  <v>58</v>
                </pt>
                <pt idx="7">
                  <v>52</v>
                </pt>
                <pt idx="8">
                  <v>52</v>
                </pt>
                <pt idx="9">
                  <v>39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029762543"/>
        <axId val="1029759663"/>
      </barChart>
      <catAx>
        <axId val="10297625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59663"/>
        <crosses val="autoZero"/>
        <auto val="1"/>
        <lblAlgn val="ctr"/>
        <lblOffset val="100"/>
        <noMultiLvlLbl val="0"/>
      </catAx>
      <valAx>
        <axId val="10297596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62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470647</colOff>
      <row>1</row>
      <rowOff>5522</rowOff>
    </from>
    <to>
      <col>29</col>
      <colOff>299357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462643</colOff>
      <row>23</row>
      <rowOff>172811</rowOff>
    </from>
    <to>
      <col>29</col>
      <colOff>299357</colOff>
      <row>49</row>
      <rowOff>40821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="85" zoomScaleNormal="85" workbookViewId="0">
      <selection activeCell="G8" sqref="G8"/>
    </sheetView>
  </sheetViews>
  <sheetFormatPr baseColWidth="8" defaultRowHeight="15"/>
  <cols>
    <col width="11.85546875" customWidth="1" min="1" max="1"/>
    <col width="16.140625" bestFit="1" customWidth="1" min="2" max="2"/>
    <col width="18.28515625" bestFit="1" customWidth="1" min="3" max="3"/>
    <col width="16.140625" bestFit="1" customWidth="1" min="4" max="4"/>
    <col width="18" bestFit="1" customWidth="1" min="5" max="5"/>
    <col width="7.85546875" bestFit="1" customWidth="1" min="6" max="6"/>
    <col width="16.42578125" bestFit="1" customWidth="1" style="44" min="7" max="7"/>
    <col width="14.28515625" bestFit="1" customWidth="1" min="8" max="8"/>
  </cols>
  <sheetData>
    <row r="1" ht="60" customHeight="1" thickBot="1">
      <c r="A1" s="78" t="inlineStr">
        <is>
          <t>Чиптаҳоналардаги киоскалардан сотилган
 чипталар тўғрисида маълумотнома 01.08.2026-31.08.2026. йил.</t>
        </is>
      </c>
      <c r="B1" s="111" t="n"/>
      <c r="C1" s="111" t="n"/>
      <c r="D1" s="111" t="n"/>
      <c r="E1" s="111" t="n"/>
      <c r="F1" s="111" t="n"/>
      <c r="G1" s="112" t="n"/>
    </row>
    <row r="2" ht="18.75" customHeight="1">
      <c r="A2" s="113" t="inlineStr">
        <is>
          <t>Кун</t>
        </is>
      </c>
      <c r="B2" s="83" t="inlineStr">
        <is>
          <t>Жами</t>
        </is>
      </c>
      <c r="C2" s="114" t="n"/>
      <c r="D2" s="115" t="inlineStr">
        <is>
          <t>Онлайн тўлов</t>
        </is>
      </c>
      <c r="E2" s="116" t="n"/>
      <c r="F2" s="86" t="inlineStr">
        <is>
          <t>Терминал тўлов</t>
        </is>
      </c>
      <c r="G2" s="117" t="n"/>
    </row>
    <row r="3" ht="30.75" customHeight="1" thickBot="1">
      <c r="A3" s="118" t="n"/>
      <c r="B3" s="22" t="inlineStr">
        <is>
          <t>Сони</t>
        </is>
      </c>
      <c r="C3" s="23" t="inlineStr">
        <is>
          <t>Сумма</t>
        </is>
      </c>
      <c r="D3" s="22" t="inlineStr">
        <is>
          <t>Сони</t>
        </is>
      </c>
      <c r="E3" s="24" t="inlineStr">
        <is>
          <t>Сумма</t>
        </is>
      </c>
      <c r="F3" s="22" t="inlineStr">
        <is>
          <t>Сони</t>
        </is>
      </c>
      <c r="G3" s="25" t="inlineStr">
        <is>
          <t xml:space="preserve"> Сумма</t>
        </is>
      </c>
    </row>
    <row r="4" ht="16.5" customHeight="1" thickBot="1">
      <c r="A4" s="33" t="n">
        <v>46235</v>
      </c>
      <c r="B4" s="40">
        <f>Худудлар!B4</f>
        <v/>
      </c>
      <c r="C4" s="41">
        <f>Худудлар!C4</f>
        <v/>
      </c>
      <c r="D4" s="42">
        <f>B4-F4</f>
        <v/>
      </c>
      <c r="E4" s="43">
        <f>C4-G4</f>
        <v/>
      </c>
      <c r="F4" s="42" t="n">
        <v>100</v>
      </c>
      <c r="G4" s="43" t="n">
        <v>27456390</v>
      </c>
    </row>
    <row r="5" ht="16.5" customHeight="1" thickBot="1">
      <c r="A5" s="3" t="n">
        <v>46236</v>
      </c>
      <c r="B5" s="40">
        <f>Худудлар!B5</f>
        <v/>
      </c>
      <c r="C5" s="41">
        <f>Худудлар!C5</f>
        <v/>
      </c>
      <c r="D5" s="42">
        <f>B5-F5</f>
        <v/>
      </c>
      <c r="E5" s="43">
        <f>C5-G5</f>
        <v/>
      </c>
      <c r="F5" s="5" t="n">
        <v>56</v>
      </c>
      <c r="G5" s="8" t="n">
        <v>15028070</v>
      </c>
      <c r="H5" s="12" t="n"/>
    </row>
    <row r="6" ht="16.5" customHeight="1" thickBot="1">
      <c r="A6" s="33" t="n">
        <v>46237</v>
      </c>
      <c r="B6" s="40">
        <f>Худудлар!B6</f>
        <v/>
      </c>
      <c r="C6" s="41">
        <f>Худудлар!C6</f>
        <v/>
      </c>
      <c r="D6" s="42">
        <f>B6-F6</f>
        <v/>
      </c>
      <c r="E6" s="43">
        <f>C6-G6</f>
        <v/>
      </c>
      <c r="F6" s="5" t="n">
        <v>148</v>
      </c>
      <c r="G6" s="8" t="n">
        <v>42202490</v>
      </c>
      <c r="H6" s="12" t="n"/>
    </row>
    <row r="7" ht="16.5" customHeight="1" thickBot="1">
      <c r="A7" s="3" t="n">
        <v>46238</v>
      </c>
      <c r="B7" s="40">
        <f>Худудлар!B7</f>
        <v/>
      </c>
      <c r="C7" s="41">
        <f>Худудлар!C7</f>
        <v/>
      </c>
      <c r="D7" s="42">
        <f>B7-F7</f>
        <v/>
      </c>
      <c r="E7" s="43">
        <f>C7-G7</f>
        <v/>
      </c>
      <c r="F7" s="5" t="n">
        <v>178</v>
      </c>
      <c r="G7" s="8" t="n">
        <v>49357060</v>
      </c>
      <c r="H7" s="12" t="n"/>
    </row>
    <row r="8" ht="16.5" customHeight="1" thickBot="1">
      <c r="A8" s="33" t="n">
        <v>46239</v>
      </c>
      <c r="B8" s="40">
        <f>Худудлар!B8</f>
        <v/>
      </c>
      <c r="C8" s="41">
        <f>Худудлар!C8</f>
        <v/>
      </c>
      <c r="D8" s="5" t="n">
        <v>25</v>
      </c>
      <c r="E8" s="43" t="n">
        <v>6321700</v>
      </c>
      <c r="F8" s="4" t="n">
        <v>160</v>
      </c>
      <c r="G8" s="9" t="n">
        <v>41802050</v>
      </c>
      <c r="H8" s="12" t="n"/>
    </row>
    <row r="9" ht="16.5" customHeight="1" thickBot="1">
      <c r="A9" s="3" t="n">
        <v>46240</v>
      </c>
      <c r="B9" s="40">
        <f>Худудлар!B9</f>
        <v/>
      </c>
      <c r="C9" s="41">
        <f>Худудлар!C9</f>
        <v/>
      </c>
      <c r="D9" s="5" t="n">
        <v>74</v>
      </c>
      <c r="E9" s="8" t="n">
        <v>32771200</v>
      </c>
      <c r="F9" s="4" t="n">
        <v>164</v>
      </c>
      <c r="G9" s="9" t="n">
        <v>39810910</v>
      </c>
      <c r="H9" s="12" t="n"/>
    </row>
    <row r="10" ht="16.5" customHeight="1" thickBot="1">
      <c r="A10" s="33" t="n">
        <v>46241</v>
      </c>
      <c r="B10" s="40">
        <f>Худудлар!B10</f>
        <v/>
      </c>
      <c r="C10" s="41">
        <f>Худудлар!C10</f>
        <v/>
      </c>
      <c r="D10" s="5" t="n">
        <v>41</v>
      </c>
      <c r="E10" s="8" t="n">
        <v>10485890</v>
      </c>
      <c r="F10" s="4" t="n">
        <v>148</v>
      </c>
      <c r="G10" s="9" t="n">
        <v>39212320</v>
      </c>
      <c r="H10" s="12" t="n"/>
    </row>
    <row r="11" ht="16.5" customHeight="1" thickBot="1">
      <c r="A11" s="3" t="n">
        <v>46242</v>
      </c>
      <c r="B11" s="40">
        <f>Худудлар!B11</f>
        <v/>
      </c>
      <c r="C11" s="41">
        <f>Худудлар!C11</f>
        <v/>
      </c>
      <c r="D11" s="5" t="n">
        <v>51</v>
      </c>
      <c r="E11" s="8" t="n">
        <v>10771030</v>
      </c>
      <c r="F11" s="4" t="n">
        <v>145</v>
      </c>
      <c r="G11" s="9" t="n">
        <v>42706360</v>
      </c>
    </row>
    <row r="12" ht="16.5" customHeight="1" thickBot="1">
      <c r="A12" s="33" t="n">
        <v>46243</v>
      </c>
      <c r="B12" s="40">
        <f>Худудлар!B12</f>
        <v/>
      </c>
      <c r="C12" s="41">
        <f>Худудлар!C12</f>
        <v/>
      </c>
      <c r="D12" s="5" t="n">
        <v>16</v>
      </c>
      <c r="E12" s="8" t="n">
        <v>5393160</v>
      </c>
      <c r="F12" s="4" t="n">
        <v>72</v>
      </c>
      <c r="G12" s="9" t="n">
        <v>18671550</v>
      </c>
    </row>
    <row r="13" ht="16.5" customHeight="1" thickBot="1">
      <c r="A13" s="3" t="n">
        <v>46244</v>
      </c>
      <c r="B13" s="40">
        <f>Худудлар!B13</f>
        <v/>
      </c>
      <c r="C13" s="41">
        <f>Худудлар!C13</f>
        <v/>
      </c>
      <c r="D13" s="5">
        <f>B13-F13</f>
        <v/>
      </c>
      <c r="E13" s="8">
        <f>C13-G13</f>
        <v/>
      </c>
      <c r="F13" s="4" t="n">
        <v>99</v>
      </c>
      <c r="G13" s="9" t="n">
        <v>30157820</v>
      </c>
    </row>
    <row r="14" ht="16.5" customHeight="1" thickBot="1">
      <c r="A14" s="33" t="n">
        <v>46245</v>
      </c>
      <c r="B14" s="40">
        <f>Худудлар!B14</f>
        <v/>
      </c>
      <c r="C14" s="41">
        <f>Худудлар!C14</f>
        <v/>
      </c>
      <c r="D14" s="5">
        <f>B14-F14</f>
        <v/>
      </c>
      <c r="E14" s="8">
        <f>C14-G14</f>
        <v/>
      </c>
      <c r="F14" s="4" t="n">
        <v>105</v>
      </c>
      <c r="G14" s="9" t="n">
        <v>27958610</v>
      </c>
    </row>
    <row r="15" ht="16.5" customHeight="1" thickBot="1">
      <c r="A15" s="3" t="n">
        <v>46246</v>
      </c>
      <c r="B15" s="40">
        <f>Худудлар!B15</f>
        <v/>
      </c>
      <c r="C15" s="41">
        <f>Худудлар!C15</f>
        <v/>
      </c>
      <c r="D15" s="5">
        <f>B15-F15</f>
        <v/>
      </c>
      <c r="E15" s="8">
        <f>C15-G15</f>
        <v/>
      </c>
      <c r="F15" s="4" t="n">
        <v>28</v>
      </c>
      <c r="G15" s="9" t="n">
        <v>7355040</v>
      </c>
    </row>
    <row r="16" ht="16.5" customHeight="1" thickBot="1">
      <c r="A16" s="33" t="n">
        <v>46247</v>
      </c>
      <c r="B16" s="40">
        <f>Худудлар!B16</f>
        <v/>
      </c>
      <c r="C16" s="41">
        <f>Худудлар!C16</f>
        <v/>
      </c>
      <c r="D16" s="5">
        <f>B16-F16</f>
        <v/>
      </c>
      <c r="E16" s="8">
        <f>C16-G16</f>
        <v/>
      </c>
      <c r="F16" s="4" t="n">
        <v>91</v>
      </c>
      <c r="G16" s="9" t="n">
        <v>21978100</v>
      </c>
    </row>
    <row r="17" ht="16.5" customHeight="1" thickBot="1">
      <c r="A17" s="3" t="n">
        <v>46248</v>
      </c>
      <c r="B17" s="40">
        <f>Худудлар!B17</f>
        <v/>
      </c>
      <c r="C17" s="41">
        <f>Худудлар!C17</f>
        <v/>
      </c>
      <c r="D17" s="5" t="n"/>
      <c r="E17" s="8" t="n"/>
      <c r="F17" s="4" t="n"/>
      <c r="G17" s="9" t="n"/>
    </row>
    <row r="18" ht="16.5" customHeight="1" thickBot="1">
      <c r="A18" s="33" t="n">
        <v>46249</v>
      </c>
      <c r="B18" s="40">
        <f>Худудлар!B18</f>
        <v/>
      </c>
      <c r="C18" s="41">
        <f>Худудлар!C18</f>
        <v/>
      </c>
      <c r="D18" s="5" t="n"/>
      <c r="E18" s="8" t="n"/>
      <c r="F18" s="4" t="n"/>
      <c r="G18" s="9" t="n"/>
    </row>
    <row r="19" ht="16.5" customHeight="1" thickBot="1">
      <c r="A19" s="3" t="n">
        <v>46250</v>
      </c>
      <c r="B19" s="40">
        <f>Худудлар!B19</f>
        <v/>
      </c>
      <c r="C19" s="41">
        <f>Худудлар!C19</f>
        <v/>
      </c>
      <c r="D19" s="5" t="n"/>
      <c r="E19" s="8" t="n"/>
      <c r="F19" s="4" t="n"/>
      <c r="G19" s="9" t="n"/>
    </row>
    <row r="20" ht="16.5" customHeight="1" thickBot="1">
      <c r="A20" s="33" t="n">
        <v>46251</v>
      </c>
      <c r="B20" s="40">
        <f>Худудлар!B20</f>
        <v/>
      </c>
      <c r="C20" s="41">
        <f>Худудлар!C20</f>
        <v/>
      </c>
      <c r="D20" s="5" t="n"/>
      <c r="E20" s="8" t="n"/>
      <c r="F20" s="4" t="n"/>
      <c r="G20" s="9" t="n"/>
    </row>
    <row r="21" ht="16.5" customHeight="1" thickBot="1">
      <c r="A21" s="3" t="n">
        <v>46252</v>
      </c>
      <c r="B21" s="40">
        <f>Худудлар!B21</f>
        <v/>
      </c>
      <c r="C21" s="41">
        <f>Худудлар!C21</f>
        <v/>
      </c>
      <c r="D21" s="5" t="n"/>
      <c r="E21" s="8" t="n"/>
      <c r="F21" s="21" t="n"/>
      <c r="G21" s="10" t="n"/>
    </row>
    <row r="22" ht="16.5" customHeight="1" thickBot="1">
      <c r="A22" s="33" t="n">
        <v>46253</v>
      </c>
      <c r="B22" s="40">
        <f>Худудлар!B22</f>
        <v/>
      </c>
      <c r="C22" s="41">
        <f>Худудлар!C22</f>
        <v/>
      </c>
      <c r="D22" s="5" t="n"/>
      <c r="E22" s="8" t="n"/>
      <c r="F22" s="21" t="n"/>
      <c r="G22" s="10" t="n"/>
    </row>
    <row r="23" ht="16.5" customHeight="1" thickBot="1">
      <c r="A23" s="3" t="n">
        <v>46254</v>
      </c>
      <c r="B23" s="40">
        <f>Худудлар!B23</f>
        <v/>
      </c>
      <c r="C23" s="41">
        <f>Худудлар!C23</f>
        <v/>
      </c>
      <c r="D23" s="5" t="n"/>
      <c r="E23" s="8" t="n"/>
      <c r="F23" s="21" t="n"/>
      <c r="G23" s="10" t="n"/>
    </row>
    <row r="24" ht="16.5" customHeight="1" thickBot="1">
      <c r="A24" s="33" t="n">
        <v>46255</v>
      </c>
      <c r="B24" s="40">
        <f>Худудлар!B24</f>
        <v/>
      </c>
      <c r="C24" s="41">
        <f>Худудлар!C24</f>
        <v/>
      </c>
      <c r="D24" s="5" t="n"/>
      <c r="E24" s="8" t="n"/>
      <c r="F24" s="4" t="n"/>
      <c r="G24" s="9" t="n"/>
    </row>
    <row r="25" ht="16.5" customHeight="1" thickBot="1">
      <c r="A25" s="3" t="n">
        <v>46256</v>
      </c>
      <c r="B25" s="40">
        <f>Худудлар!B25</f>
        <v/>
      </c>
      <c r="C25" s="41">
        <f>Худудлар!C25</f>
        <v/>
      </c>
      <c r="D25" s="5" t="n"/>
      <c r="E25" s="8" t="n"/>
      <c r="F25" s="4" t="n"/>
      <c r="G25" s="9" t="n"/>
    </row>
    <row r="26" ht="16.5" customHeight="1" thickBot="1">
      <c r="A26" s="33" t="n">
        <v>46257</v>
      </c>
      <c r="B26" s="40">
        <f>Худудлар!B26</f>
        <v/>
      </c>
      <c r="C26" s="41">
        <f>Худудлар!C26</f>
        <v/>
      </c>
      <c r="D26" s="5" t="n"/>
      <c r="E26" s="8" t="n"/>
      <c r="F26" s="4" t="n"/>
      <c r="G26" s="9" t="n"/>
    </row>
    <row r="27" ht="16.5" customHeight="1" thickBot="1">
      <c r="A27" s="3" t="n">
        <v>46258</v>
      </c>
      <c r="B27" s="40">
        <f>Худудлар!B27</f>
        <v/>
      </c>
      <c r="C27" s="41">
        <f>Худудлар!C27</f>
        <v/>
      </c>
      <c r="D27" s="5" t="n"/>
      <c r="E27" s="8" t="n"/>
      <c r="F27" s="4" t="n"/>
      <c r="G27" s="9" t="n"/>
    </row>
    <row r="28" ht="16.5" customHeight="1" thickBot="1">
      <c r="A28" s="33" t="n">
        <v>46259</v>
      </c>
      <c r="B28" s="40">
        <f>Худудлар!B28</f>
        <v/>
      </c>
      <c r="C28" s="41">
        <f>Худудлар!C28</f>
        <v/>
      </c>
      <c r="D28" s="5" t="n"/>
      <c r="E28" s="8" t="n"/>
      <c r="F28" s="4" t="n"/>
      <c r="G28" s="9" t="n"/>
    </row>
    <row r="29" ht="16.5" customHeight="1" thickBot="1">
      <c r="A29" s="3" t="n">
        <v>46260</v>
      </c>
      <c r="B29" s="40">
        <f>Худудлар!B29</f>
        <v/>
      </c>
      <c r="C29" s="41">
        <f>Худудлар!C29</f>
        <v/>
      </c>
      <c r="D29" s="5" t="n"/>
      <c r="E29" s="8" t="n"/>
      <c r="F29" s="21" t="n"/>
      <c r="G29" s="9" t="n"/>
    </row>
    <row r="30" ht="16.5" customHeight="1" thickBot="1">
      <c r="A30" s="33" t="n">
        <v>46261</v>
      </c>
      <c r="B30" s="40">
        <f>Худудлар!B30</f>
        <v/>
      </c>
      <c r="C30" s="41">
        <f>Худудлар!C30</f>
        <v/>
      </c>
      <c r="D30" s="5" t="n"/>
      <c r="E30" s="8" t="n"/>
      <c r="F30" s="4" t="n"/>
      <c r="G30" s="9" t="n"/>
    </row>
    <row r="31" ht="16.5" customHeight="1" thickBot="1">
      <c r="A31" s="3" t="n">
        <v>46262</v>
      </c>
      <c r="B31" s="40">
        <f>Худудлар!B31</f>
        <v/>
      </c>
      <c r="C31" s="41">
        <f>Худудлар!C31</f>
        <v/>
      </c>
      <c r="D31" s="5" t="n"/>
      <c r="E31" s="8" t="n"/>
      <c r="F31" s="21" t="n"/>
      <c r="G31" s="9" t="n"/>
    </row>
    <row r="32" ht="16.5" customHeight="1" thickBot="1">
      <c r="A32" s="33" t="n">
        <v>46263</v>
      </c>
      <c r="B32" s="40">
        <f>Худудлар!B32</f>
        <v/>
      </c>
      <c r="C32" s="41">
        <f>Худудлар!C32</f>
        <v/>
      </c>
      <c r="D32" s="5" t="n"/>
      <c r="E32" s="8" t="n"/>
      <c r="F32" s="21" t="n"/>
      <c r="G32" s="9" t="n"/>
    </row>
    <row r="33" ht="16.5" customHeight="1" thickBot="1">
      <c r="A33" s="3" t="n">
        <v>46264</v>
      </c>
      <c r="B33" s="40">
        <f>Худудлар!B33</f>
        <v/>
      </c>
      <c r="C33" s="41">
        <f>Худудлар!C33</f>
        <v/>
      </c>
      <c r="D33" s="5" t="n"/>
      <c r="E33" s="8" t="n"/>
      <c r="F33" s="4" t="n"/>
      <c r="G33" s="9" t="n"/>
    </row>
    <row r="34" ht="16.5" customHeight="1" thickBot="1">
      <c r="A34" s="3" t="n">
        <v>46265</v>
      </c>
      <c r="B34" s="40">
        <f>Худудлар!B34</f>
        <v/>
      </c>
      <c r="C34" s="41">
        <f>Худудлар!C34</f>
        <v/>
      </c>
      <c r="D34" s="75" t="n"/>
      <c r="E34" s="76" t="n"/>
      <c r="F34" s="77" t="n"/>
      <c r="G34" s="76" t="n"/>
    </row>
    <row r="35" ht="19.5" customHeight="1" thickBot="1">
      <c r="A35" s="34" t="inlineStr">
        <is>
          <t>Жами</t>
        </is>
      </c>
      <c r="B35" s="35">
        <f>SUM(B4:B34)</f>
        <v/>
      </c>
      <c r="C35" s="36">
        <f>SUM(C4:C34)</f>
        <v/>
      </c>
      <c r="D35" s="37">
        <f>SUM(D4:D34)</f>
        <v/>
      </c>
      <c r="E35" s="38">
        <f>SUM(E4:E34)</f>
        <v/>
      </c>
      <c r="F35" s="39">
        <f>SUM(F4:F34)</f>
        <v/>
      </c>
      <c r="G35" s="38">
        <f>SUM(G4:G34)</f>
        <v/>
      </c>
      <c r="H35" s="12" t="n"/>
    </row>
  </sheetData>
  <mergeCells count="5">
    <mergeCell ref="F2:G2"/>
    <mergeCell ref="B2:C2"/>
    <mergeCell ref="A1:G1"/>
    <mergeCell ref="D2:E2"/>
    <mergeCell ref="A2:A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zoomScale="70" zoomScaleNormal="70" workbookViewId="0">
      <selection activeCell="A8" sqref="A8"/>
    </sheetView>
  </sheetViews>
  <sheetFormatPr baseColWidth="8" defaultRowHeight="15"/>
  <cols>
    <col width="16.28515625" bestFit="1" customWidth="1" min="1" max="1"/>
    <col width="15.28515625" bestFit="1" customWidth="1" min="2" max="2"/>
    <col width="28.5703125" bestFit="1" customWidth="1" min="3" max="3"/>
    <col width="12.42578125" bestFit="1" customWidth="1" min="4" max="4"/>
    <col width="23.85546875" bestFit="1" customWidth="1" min="5" max="5"/>
    <col width="12.42578125" bestFit="1" customWidth="1" min="6" max="6"/>
    <col width="25.7109375" bestFit="1" customWidth="1" min="7" max="7"/>
    <col width="11.140625" bestFit="1" customWidth="1" min="8" max="8"/>
    <col width="23.85546875" bestFit="1" customWidth="1" min="9" max="9"/>
    <col width="12.42578125" bestFit="1" customWidth="1" min="10" max="10"/>
    <col width="25.7109375" bestFit="1" customWidth="1" min="11" max="11"/>
    <col width="12.42578125" bestFit="1" customWidth="1" min="12" max="12"/>
    <col width="23.85546875" bestFit="1" customWidth="1" min="13" max="13"/>
    <col width="11.140625" customWidth="1" min="14" max="14"/>
    <col width="21.7109375" bestFit="1" customWidth="1" min="15" max="15"/>
    <col width="11.140625" bestFit="1" customWidth="1" min="16" max="16"/>
    <col width="23.85546875" bestFit="1" customWidth="1" min="17" max="17"/>
    <col width="12.42578125" bestFit="1" customWidth="1" min="18" max="18"/>
    <col width="25.7109375" bestFit="1" customWidth="1" min="19" max="19"/>
    <col width="12.42578125" bestFit="1" customWidth="1" min="20" max="20"/>
    <col width="23.85546875" bestFit="1" customWidth="1" min="21" max="21"/>
    <col width="12.42578125" bestFit="1" customWidth="1" min="22" max="22"/>
    <col width="23.85546875" bestFit="1" customWidth="1" min="23" max="23"/>
    <col width="12.42578125" bestFit="1" customWidth="1" min="24" max="24"/>
    <col width="23.85546875" bestFit="1" customWidth="1" min="25" max="25"/>
    <col width="15.28515625" bestFit="1" customWidth="1" min="26" max="26"/>
    <col width="25.7109375" bestFit="1" customWidth="1" min="27" max="27"/>
    <col width="12.42578125" bestFit="1" customWidth="1" min="28" max="28"/>
    <col width="23.85546875" bestFit="1" customWidth="1" min="29" max="29"/>
    <col width="12.42578125" bestFit="1" customWidth="1" min="30" max="30"/>
    <col width="25.7109375" bestFit="1" customWidth="1" min="31" max="31"/>
    <col width="11.140625" bestFit="1" customWidth="1" min="32" max="32"/>
    <col width="23.85546875" bestFit="1" customWidth="1" min="33" max="33"/>
  </cols>
  <sheetData>
    <row r="1" ht="73.5" customHeight="1" thickBot="1">
      <c r="A1" s="119" t="inlineStr">
        <is>
          <t>Кун</t>
        </is>
      </c>
      <c r="B1" s="95" t="inlineStr">
        <is>
          <t>Жами</t>
        </is>
      </c>
      <c r="C1" s="120" t="n"/>
      <c r="D1" s="99" t="inlineStr">
        <is>
          <t>Чиптаҳоналардаги киоскалардан сотилган
 чипталар тўғрисида маълумотнома 01.08.2026-31.08.2026. йил.</t>
        </is>
      </c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  <c r="AE1" s="111" t="n"/>
      <c r="AF1" s="111" t="n"/>
      <c r="AG1" s="112" t="n"/>
    </row>
    <row r="2" ht="26.25" customHeight="1" thickBot="1">
      <c r="A2" s="121" t="n"/>
      <c r="B2" s="122" t="n"/>
      <c r="C2" s="123" t="n"/>
      <c r="D2" s="90" t="inlineStr">
        <is>
          <t>Андижон</t>
        </is>
      </c>
      <c r="E2" s="120" t="n"/>
      <c r="F2" s="90" t="inlineStr">
        <is>
          <t>Бухоро</t>
        </is>
      </c>
      <c r="G2" s="120" t="n"/>
      <c r="H2" s="90" t="inlineStr">
        <is>
          <t>Хива</t>
        </is>
      </c>
      <c r="I2" s="120" t="n"/>
      <c r="J2" s="88" t="inlineStr">
        <is>
          <t>Тошкент Жанубий</t>
        </is>
      </c>
      <c r="K2" s="120" t="n"/>
      <c r="L2" s="90" t="inlineStr">
        <is>
          <t>Марғилон</t>
        </is>
      </c>
      <c r="M2" s="120" t="n"/>
      <c r="N2" s="124" t="inlineStr">
        <is>
          <t>Навои</t>
        </is>
      </c>
      <c r="O2" s="125" t="n"/>
      <c r="P2" s="90" t="inlineStr">
        <is>
          <t>Наманган</t>
        </is>
      </c>
      <c r="Q2" s="120" t="n"/>
      <c r="R2" s="90" t="inlineStr">
        <is>
          <t>Нукус</t>
        </is>
      </c>
      <c r="S2" s="120" t="n"/>
      <c r="T2" s="90" t="inlineStr">
        <is>
          <t>Қарши</t>
        </is>
      </c>
      <c r="U2" s="120" t="n"/>
      <c r="V2" s="90" t="inlineStr">
        <is>
          <t>Қўнғирод</t>
        </is>
      </c>
      <c r="W2" s="120" t="n"/>
      <c r="X2" s="88" t="inlineStr">
        <is>
          <t>Қўқон</t>
        </is>
      </c>
      <c r="Y2" s="120" t="n"/>
      <c r="Z2" s="88" t="inlineStr">
        <is>
          <t>Самарқанд</t>
        </is>
      </c>
      <c r="AA2" s="120" t="n"/>
      <c r="AB2" s="90" t="inlineStr">
        <is>
          <t>Термиз</t>
        </is>
      </c>
      <c r="AC2" s="120" t="n"/>
      <c r="AD2" s="90" t="inlineStr">
        <is>
          <t>Тошкент Марказий</t>
        </is>
      </c>
      <c r="AE2" s="120" t="n"/>
      <c r="AF2" s="90" t="inlineStr">
        <is>
          <t>Урганч</t>
        </is>
      </c>
      <c r="AG2" s="120" t="n"/>
    </row>
    <row r="3" ht="26.25" customHeight="1" thickBot="1">
      <c r="A3" s="118" t="n"/>
      <c r="B3" s="45" t="inlineStr">
        <is>
          <t>Сони</t>
        </is>
      </c>
      <c r="C3" s="48" t="inlineStr">
        <is>
          <t>Сумма</t>
        </is>
      </c>
      <c r="D3" s="60" t="inlineStr">
        <is>
          <t>Сони</t>
        </is>
      </c>
      <c r="E3" s="91" t="inlineStr">
        <is>
          <t>Сумма</t>
        </is>
      </c>
      <c r="F3" s="60" t="inlineStr">
        <is>
          <t>Сони</t>
        </is>
      </c>
      <c r="G3" s="91" t="inlineStr">
        <is>
          <t>Сумма</t>
        </is>
      </c>
      <c r="H3" s="90" t="inlineStr">
        <is>
          <t>Сони</t>
        </is>
      </c>
      <c r="I3" s="91" t="inlineStr">
        <is>
          <t>Сумма</t>
        </is>
      </c>
      <c r="J3" s="90" t="inlineStr">
        <is>
          <t>Сони</t>
        </is>
      </c>
      <c r="K3" s="91" t="inlineStr">
        <is>
          <t>Сумма</t>
        </is>
      </c>
      <c r="L3" s="90" t="inlineStr">
        <is>
          <t>Сони</t>
        </is>
      </c>
      <c r="M3" s="91" t="inlineStr">
        <is>
          <t>Сумма</t>
        </is>
      </c>
      <c r="N3" s="90" t="inlineStr">
        <is>
          <t>Сони</t>
        </is>
      </c>
      <c r="O3" s="91" t="inlineStr">
        <is>
          <t>Сумма</t>
        </is>
      </c>
      <c r="P3" s="90" t="inlineStr">
        <is>
          <t>Сони</t>
        </is>
      </c>
      <c r="Q3" s="91" t="inlineStr">
        <is>
          <t>Сумма</t>
        </is>
      </c>
      <c r="R3" s="90" t="inlineStr">
        <is>
          <t>Сони</t>
        </is>
      </c>
      <c r="S3" s="91" t="inlineStr">
        <is>
          <t>Сумма</t>
        </is>
      </c>
      <c r="T3" s="90" t="inlineStr">
        <is>
          <t>Сони</t>
        </is>
      </c>
      <c r="U3" s="91" t="inlineStr">
        <is>
          <t>Сумма</t>
        </is>
      </c>
      <c r="V3" s="90" t="inlineStr">
        <is>
          <t>Сони</t>
        </is>
      </c>
      <c r="W3" s="91" t="inlineStr">
        <is>
          <t>Сумма</t>
        </is>
      </c>
      <c r="X3" s="88" t="inlineStr">
        <is>
          <t>Сони</t>
        </is>
      </c>
      <c r="Y3" s="89" t="inlineStr">
        <is>
          <t>Сумма</t>
        </is>
      </c>
      <c r="Z3" s="88" t="inlineStr">
        <is>
          <t>Сони</t>
        </is>
      </c>
      <c r="AA3" s="89" t="inlineStr">
        <is>
          <t>Сумма</t>
        </is>
      </c>
      <c r="AB3" s="88" t="inlineStr">
        <is>
          <t>Сони</t>
        </is>
      </c>
      <c r="AC3" s="89" t="inlineStr">
        <is>
          <t>Сумма</t>
        </is>
      </c>
      <c r="AD3" s="88" t="inlineStr">
        <is>
          <t>Сони</t>
        </is>
      </c>
      <c r="AE3" s="89" t="inlineStr">
        <is>
          <t>Сумма</t>
        </is>
      </c>
      <c r="AF3" s="88" t="inlineStr">
        <is>
          <t>Сони</t>
        </is>
      </c>
      <c r="AG3" s="89" t="inlineStr">
        <is>
          <t>Сумма</t>
        </is>
      </c>
    </row>
    <row r="4" ht="21" customHeight="1" thickBot="1">
      <c r="A4" s="46" t="n">
        <v>46235</v>
      </c>
      <c r="B4" s="49">
        <f>D4+F4+H4+J4+L4+N4+P4+R4+T4+V4+X4+Z4+AB4+AD4+AF4</f>
        <v/>
      </c>
      <c r="C4" s="50">
        <f>E4+G4+I4+K4+M4+O4+Q4+S4+U4+W4+Y4+AA4+AC4+AE4+AG4</f>
        <v/>
      </c>
      <c r="D4" s="6" t="n">
        <v>4</v>
      </c>
      <c r="E4" s="7" t="n">
        <v>833100</v>
      </c>
      <c r="F4" s="51" t="n">
        <v>9</v>
      </c>
      <c r="G4" s="52" t="n">
        <v>2587290</v>
      </c>
      <c r="H4" s="6" t="n">
        <v>1</v>
      </c>
      <c r="I4" s="7" t="n">
        <v>200060</v>
      </c>
      <c r="J4" s="51" t="n">
        <v>25</v>
      </c>
      <c r="K4" s="52" t="n">
        <v>10185720</v>
      </c>
      <c r="L4" s="6" t="n">
        <v>2</v>
      </c>
      <c r="M4" s="7" t="n">
        <v>328930</v>
      </c>
      <c r="N4" s="6" t="n">
        <v>0</v>
      </c>
      <c r="O4" s="7" t="n">
        <v>0</v>
      </c>
      <c r="P4" s="6" t="n">
        <v>1</v>
      </c>
      <c r="Q4" s="7" t="n">
        <v>136100</v>
      </c>
      <c r="R4" s="6" t="n">
        <v>27</v>
      </c>
      <c r="S4" s="7" t="n">
        <v>13105900</v>
      </c>
      <c r="T4" s="6" t="n">
        <v>3</v>
      </c>
      <c r="U4" s="7" t="n">
        <v>650100</v>
      </c>
      <c r="V4" s="6" t="n">
        <v>11</v>
      </c>
      <c r="W4" s="7" t="n">
        <v>4995170</v>
      </c>
      <c r="X4" s="6" t="n">
        <v>8</v>
      </c>
      <c r="Y4" s="7" t="n">
        <v>1477430</v>
      </c>
      <c r="Z4" s="6" t="n">
        <v>60</v>
      </c>
      <c r="AA4" s="7" t="n">
        <v>15720950</v>
      </c>
      <c r="AB4" s="6" t="n">
        <v>24</v>
      </c>
      <c r="AC4" s="7" t="n">
        <v>9086540</v>
      </c>
      <c r="AD4" s="6" t="n">
        <v>0</v>
      </c>
      <c r="AE4" s="7" t="n">
        <v>0</v>
      </c>
      <c r="AF4" s="6" t="n">
        <v>3</v>
      </c>
      <c r="AG4" s="7" t="n">
        <v>642280</v>
      </c>
    </row>
    <row r="5" ht="21" customHeight="1" thickBot="1">
      <c r="A5" s="46" t="n">
        <v>46236</v>
      </c>
      <c r="B5" s="49">
        <f>D5+F5+H5+J5+L5+N5+P5+R5+T5+V5+X5+Z5+AB5+AD5+AF5</f>
        <v/>
      </c>
      <c r="C5" s="50">
        <f>E5+G5+I5+K5+M5+O5+Q5+S5+U5+W5+Y5+AA5+AC5+AE5+AG5</f>
        <v/>
      </c>
      <c r="D5" s="6" t="n">
        <v>0</v>
      </c>
      <c r="E5" s="7" t="n">
        <v>0</v>
      </c>
      <c r="F5" s="6" t="n">
        <v>6</v>
      </c>
      <c r="G5" s="7" t="n">
        <v>2148790</v>
      </c>
      <c r="H5" s="6" t="n">
        <v>1</v>
      </c>
      <c r="I5" s="7" t="n">
        <v>157100</v>
      </c>
      <c r="J5" s="6" t="n">
        <v>15</v>
      </c>
      <c r="K5" s="7" t="n">
        <v>6271750</v>
      </c>
      <c r="L5" s="6" t="n">
        <v>4</v>
      </c>
      <c r="M5" s="7" t="n">
        <v>914530</v>
      </c>
      <c r="N5" s="6" t="n">
        <v>0</v>
      </c>
      <c r="O5" s="7" t="n">
        <v>0</v>
      </c>
      <c r="P5" s="6" t="n">
        <v>2</v>
      </c>
      <c r="Q5" s="7" t="n">
        <v>503950</v>
      </c>
      <c r="R5" s="6" t="n">
        <v>15</v>
      </c>
      <c r="S5" s="7" t="n">
        <v>7290170</v>
      </c>
      <c r="T5" s="6" t="n">
        <v>1</v>
      </c>
      <c r="U5" s="7" t="n">
        <v>429000</v>
      </c>
      <c r="V5" s="6" t="n">
        <v>5</v>
      </c>
      <c r="W5" s="7" t="n">
        <v>1735720</v>
      </c>
      <c r="X5" s="6" t="n">
        <v>8</v>
      </c>
      <c r="Y5" s="7" t="n">
        <v>1928350</v>
      </c>
      <c r="Z5" s="6" t="n">
        <v>36</v>
      </c>
      <c r="AA5" s="7" t="n">
        <v>9306540</v>
      </c>
      <c r="AB5" s="6" t="n">
        <v>0</v>
      </c>
      <c r="AC5" s="7" t="n">
        <v>0</v>
      </c>
      <c r="AD5" s="6" t="n">
        <v>2</v>
      </c>
      <c r="AE5" s="7" t="n">
        <v>769510</v>
      </c>
      <c r="AF5" s="6" t="n">
        <v>4</v>
      </c>
      <c r="AG5" s="7" t="n">
        <v>628400</v>
      </c>
    </row>
    <row r="6" ht="21" customHeight="1" thickBot="1">
      <c r="A6" s="46" t="n">
        <v>46237</v>
      </c>
      <c r="B6" s="49">
        <f>D6+F6+H6+J6+L6+N6+P6+R6+T6+V6+X6+Z6+AB6+AD6+AF6</f>
        <v/>
      </c>
      <c r="C6" s="50">
        <f>E6+G6+I6+K6+M6+O6+Q6+S6+U6+W6+Y6+AA6+AC6+AE6+AG6</f>
        <v/>
      </c>
      <c r="D6" s="6" t="n">
        <v>10</v>
      </c>
      <c r="E6" s="7" t="n">
        <v>2133380</v>
      </c>
      <c r="F6" s="6" t="n">
        <v>32</v>
      </c>
      <c r="G6" s="7" t="n">
        <v>9588100</v>
      </c>
      <c r="H6" s="6" t="n">
        <v>3</v>
      </c>
      <c r="I6" s="7" t="n">
        <v>700940</v>
      </c>
      <c r="J6" s="6" t="n">
        <v>30</v>
      </c>
      <c r="K6" s="7" t="n">
        <v>8795120</v>
      </c>
      <c r="L6" s="6" t="n">
        <v>0</v>
      </c>
      <c r="M6" s="7" t="n">
        <v>0</v>
      </c>
      <c r="N6" s="6" t="n">
        <v>3</v>
      </c>
      <c r="O6" s="56" t="n">
        <v>769930</v>
      </c>
      <c r="P6" s="6" t="n">
        <v>2</v>
      </c>
      <c r="Q6" s="7" t="n">
        <v>405840</v>
      </c>
      <c r="R6" s="6" t="n">
        <v>20</v>
      </c>
      <c r="S6" s="7" t="n">
        <v>9745900</v>
      </c>
      <c r="T6" s="6" t="n">
        <v>29</v>
      </c>
      <c r="U6" s="7" t="n">
        <v>5995130</v>
      </c>
      <c r="V6" s="6" t="n">
        <v>8</v>
      </c>
      <c r="W6" s="7" t="n">
        <v>3907110</v>
      </c>
      <c r="X6" s="6" t="n">
        <v>12</v>
      </c>
      <c r="Y6" s="7" t="n">
        <v>2787060</v>
      </c>
      <c r="Z6" s="6" t="n">
        <v>99</v>
      </c>
      <c r="AA6" s="7" t="n">
        <v>24611440</v>
      </c>
      <c r="AB6" s="6" t="n">
        <v>5</v>
      </c>
      <c r="AC6" s="7" t="n">
        <v>1031140</v>
      </c>
      <c r="AD6" s="6" t="n">
        <v>17</v>
      </c>
      <c r="AE6" s="7" t="n">
        <v>6963930</v>
      </c>
      <c r="AF6" s="6" t="n">
        <v>0</v>
      </c>
      <c r="AG6" s="7" t="n">
        <v>0</v>
      </c>
    </row>
    <row r="7" ht="21" customHeight="1" thickBot="1">
      <c r="A7" s="46" t="n">
        <v>46238</v>
      </c>
      <c r="B7" s="49">
        <f>D7+F7+H7+J7+L7+N7+P7+R7+T7+V7+X7+Z7+AB7+AD7+AF7</f>
        <v/>
      </c>
      <c r="C7" s="50">
        <f>E7+G7+I7+K7+M7+O7+Q7+S7+U7+W7+Y7+AA7+AC7+AE7+AG7</f>
        <v/>
      </c>
      <c r="D7" s="6" t="n">
        <v>26</v>
      </c>
      <c r="E7" s="7" t="n">
        <v>6139160</v>
      </c>
      <c r="F7" s="6" t="n">
        <v>39</v>
      </c>
      <c r="G7" s="7" t="n">
        <v>11858990</v>
      </c>
      <c r="H7" s="6" t="n">
        <v>0</v>
      </c>
      <c r="I7" s="7" t="n">
        <v>0</v>
      </c>
      <c r="J7" s="6" t="n">
        <v>14</v>
      </c>
      <c r="K7" s="7" t="n">
        <v>5793920</v>
      </c>
      <c r="L7" s="6" t="n">
        <v>8</v>
      </c>
      <c r="M7" s="7" t="n">
        <v>2278080</v>
      </c>
      <c r="N7" s="6" t="n">
        <v>0</v>
      </c>
      <c r="O7" s="56" t="n">
        <v>0</v>
      </c>
      <c r="P7" s="6" t="n">
        <v>5</v>
      </c>
      <c r="Q7" s="7" t="n">
        <v>1320740</v>
      </c>
      <c r="R7" s="6" t="n">
        <v>15</v>
      </c>
      <c r="S7" s="7" t="n">
        <v>7750390</v>
      </c>
      <c r="T7" s="6" t="n">
        <v>39</v>
      </c>
      <c r="U7" s="7" t="n">
        <v>8352780</v>
      </c>
      <c r="V7" s="6" t="n">
        <v>15</v>
      </c>
      <c r="W7" s="7" t="n">
        <v>5558800</v>
      </c>
      <c r="X7" s="6" t="n">
        <v>1</v>
      </c>
      <c r="Y7" s="7" t="n">
        <v>113990</v>
      </c>
      <c r="Z7" s="6" t="n">
        <v>68</v>
      </c>
      <c r="AA7" s="7" t="n">
        <v>17204510</v>
      </c>
      <c r="AB7" s="6" t="n">
        <v>12</v>
      </c>
      <c r="AC7" s="7" t="n">
        <v>1560160</v>
      </c>
      <c r="AD7" s="6" t="n">
        <v>32</v>
      </c>
      <c r="AE7" s="7" t="n">
        <v>11735220</v>
      </c>
      <c r="AF7" s="6" t="n">
        <v>3</v>
      </c>
      <c r="AG7" s="7" t="n">
        <v>418480</v>
      </c>
    </row>
    <row r="8" ht="21" customHeight="1" thickBot="1">
      <c r="A8" s="46" t="n">
        <v>46239</v>
      </c>
      <c r="B8" s="49">
        <f>D8+F8+H8+J8+L8+N8+P8+R8+T8+V8+X8+Z8+AB8+AD8+AF8</f>
        <v/>
      </c>
      <c r="C8" s="50">
        <f>E8+G8+I8+K8+M8+O8+Q8+S8+U8+W8+Y8+AA8+AC8+AE8+AG8</f>
        <v/>
      </c>
      <c r="D8" s="6" t="n">
        <v>12</v>
      </c>
      <c r="E8" s="7" t="n">
        <v>2577200</v>
      </c>
      <c r="F8" s="6" t="n">
        <v>26</v>
      </c>
      <c r="G8" s="7" t="n">
        <v>7394660</v>
      </c>
      <c r="H8" s="6" t="n">
        <v>0</v>
      </c>
      <c r="I8" s="7" t="n">
        <v>0</v>
      </c>
      <c r="J8" s="6" t="n">
        <v>0</v>
      </c>
      <c r="K8" s="7" t="n">
        <v>0</v>
      </c>
      <c r="L8" s="6" t="n">
        <v>1</v>
      </c>
      <c r="M8" s="7" t="n">
        <v>200060</v>
      </c>
      <c r="N8" s="6" t="n">
        <v>2</v>
      </c>
      <c r="O8" s="7" t="n">
        <v>858000</v>
      </c>
      <c r="P8" s="6" t="n">
        <v>0</v>
      </c>
      <c r="Q8" s="7" t="n">
        <v>0</v>
      </c>
      <c r="R8" s="6" t="n">
        <v>11</v>
      </c>
      <c r="S8" s="7" t="n">
        <v>4868370</v>
      </c>
      <c r="T8" s="6" t="n">
        <v>7</v>
      </c>
      <c r="U8" s="7" t="n">
        <v>1856020</v>
      </c>
      <c r="V8" s="6" t="n">
        <v>0</v>
      </c>
      <c r="W8" s="7" t="n">
        <v>0</v>
      </c>
      <c r="X8" s="6" t="n">
        <v>29</v>
      </c>
      <c r="Y8" s="7" t="n">
        <v>5633120</v>
      </c>
      <c r="Z8" s="6" t="n">
        <v>65</v>
      </c>
      <c r="AA8" s="7" t="n">
        <v>15672650</v>
      </c>
      <c r="AB8" s="6" t="n">
        <v>11</v>
      </c>
      <c r="AC8" s="7" t="n">
        <v>2600630</v>
      </c>
      <c r="AD8" s="6" t="n">
        <v>21</v>
      </c>
      <c r="AE8" s="7" t="n">
        <v>6463040</v>
      </c>
      <c r="AF8" s="6" t="n">
        <v>0</v>
      </c>
      <c r="AG8" s="7" t="n">
        <v>0</v>
      </c>
    </row>
    <row r="9" ht="21" customHeight="1" thickBot="1">
      <c r="A9" s="46" t="n">
        <v>46240</v>
      </c>
      <c r="B9" s="49">
        <f>D9+F9+H9+J9+L9+N9+P9+R9+T9+V9+X9+Z9+AB9+AD9+AF9</f>
        <v/>
      </c>
      <c r="C9" s="50">
        <f>E9+G9+I9+K9+M9+O9+Q9+S9+U9+W9+Y9+AA9+AC9+AE9+AG9</f>
        <v/>
      </c>
      <c r="D9" s="6" t="n">
        <v>17</v>
      </c>
      <c r="E9" s="7" t="n">
        <v>3671850</v>
      </c>
      <c r="F9" s="6" t="n">
        <v>13</v>
      </c>
      <c r="G9" s="7" t="n">
        <v>2853530</v>
      </c>
      <c r="H9" s="6" t="n">
        <v>0</v>
      </c>
      <c r="I9" s="7" t="n">
        <v>0</v>
      </c>
      <c r="J9" s="6" t="n">
        <v>16</v>
      </c>
      <c r="K9" s="7" t="n">
        <v>5008040</v>
      </c>
      <c r="L9" s="6" t="n">
        <v>17</v>
      </c>
      <c r="M9" s="7" t="n">
        <v>4118880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5</v>
      </c>
      <c r="S9" s="7" t="n">
        <v>1089810</v>
      </c>
      <c r="T9" s="6" t="n">
        <v>15</v>
      </c>
      <c r="U9" s="7" t="n">
        <v>4892400</v>
      </c>
      <c r="V9" s="6" t="n">
        <v>2</v>
      </c>
      <c r="W9" s="7" t="n">
        <v>503970</v>
      </c>
      <c r="X9" s="6" t="n">
        <v>11</v>
      </c>
      <c r="Y9" s="7" t="n">
        <v>2266740</v>
      </c>
      <c r="Z9" s="6" t="n">
        <v>107</v>
      </c>
      <c r="AA9" s="7" t="n">
        <v>39272060</v>
      </c>
      <c r="AB9" s="6" t="n">
        <v>9</v>
      </c>
      <c r="AC9" s="7" t="n">
        <v>1721840</v>
      </c>
      <c r="AD9" s="6" t="n">
        <v>26</v>
      </c>
      <c r="AE9" s="7" t="n">
        <v>7182990</v>
      </c>
      <c r="AF9" s="6" t="n">
        <v>0</v>
      </c>
      <c r="AG9" s="7" t="n">
        <v>0</v>
      </c>
    </row>
    <row r="10" ht="21" customHeight="1" thickBot="1">
      <c r="A10" s="46" t="n">
        <v>46241</v>
      </c>
      <c r="B10" s="49">
        <f>D10+F10+H10+J10+L10+N10+P10+R10+T10+V10+X10+Z10+AB10+AD10+AF10</f>
        <v/>
      </c>
      <c r="C10" s="50">
        <f>E10+G10+I10+K10+M10+O10+Q10+S10+U10+W10+Y10+AA10+AC10+AE10+AG10</f>
        <v/>
      </c>
      <c r="D10" s="6" t="n">
        <v>4</v>
      </c>
      <c r="E10" s="7" t="n">
        <v>919630</v>
      </c>
      <c r="F10" s="6" t="n">
        <v>20</v>
      </c>
      <c r="G10" s="7" t="n">
        <v>4622240</v>
      </c>
      <c r="H10" s="6" t="n">
        <v>3</v>
      </c>
      <c r="I10" s="7" t="n">
        <v>557220</v>
      </c>
      <c r="J10" s="6" t="n">
        <v>9</v>
      </c>
      <c r="K10" s="7" t="n">
        <v>2721480</v>
      </c>
      <c r="L10" s="6" t="n">
        <v>0</v>
      </c>
      <c r="M10" s="7" t="n">
        <v>0</v>
      </c>
      <c r="N10" s="6" t="n">
        <v>0</v>
      </c>
      <c r="O10" s="56" t="n">
        <v>0</v>
      </c>
      <c r="P10" s="6" t="n">
        <v>8</v>
      </c>
      <c r="Q10" s="7" t="n">
        <v>1348070</v>
      </c>
      <c r="R10" s="6" t="n">
        <v>3</v>
      </c>
      <c r="S10" s="7" t="n">
        <v>1039450</v>
      </c>
      <c r="T10" s="6" t="n">
        <v>12</v>
      </c>
      <c r="U10" s="7" t="n">
        <v>3484090</v>
      </c>
      <c r="V10" s="6" t="n">
        <v>1</v>
      </c>
      <c r="W10" s="7" t="n">
        <v>258610</v>
      </c>
      <c r="X10" s="6" t="n">
        <v>5</v>
      </c>
      <c r="Y10" s="7" t="n">
        <v>1155070</v>
      </c>
      <c r="Z10" s="6" t="n">
        <v>61</v>
      </c>
      <c r="AA10" s="7" t="n">
        <v>15034380</v>
      </c>
      <c r="AB10" s="6" t="n">
        <v>10</v>
      </c>
      <c r="AC10" s="7" t="n">
        <v>2059070</v>
      </c>
      <c r="AD10" s="6" t="n">
        <v>7</v>
      </c>
      <c r="AE10" s="7" t="n">
        <v>2572470</v>
      </c>
      <c r="AF10" s="6" t="n">
        <v>46</v>
      </c>
      <c r="AG10" s="7" t="n">
        <v>13926430</v>
      </c>
    </row>
    <row r="11" ht="21" customHeight="1" thickBot="1">
      <c r="A11" s="46" t="n">
        <v>46242</v>
      </c>
      <c r="B11" s="49">
        <f>D11+F11+H11+J11+L11+N11+P11+R11+T11+V11+X11+Z11+AB11+AD11+AF11</f>
        <v/>
      </c>
      <c r="C11" s="50">
        <f>E11+G11+I11+K11+M11+O11+Q11+S11+U11+W11+Y11+AA11+AC11+AE11+AG11</f>
        <v/>
      </c>
      <c r="D11" s="6" t="n">
        <v>9</v>
      </c>
      <c r="E11" s="7" t="n">
        <v>1648310</v>
      </c>
      <c r="F11" s="6" t="n">
        <v>27</v>
      </c>
      <c r="G11" s="7" t="n">
        <v>7263640</v>
      </c>
      <c r="H11" s="6" t="n">
        <v>0</v>
      </c>
      <c r="I11" s="7" t="n">
        <v>0</v>
      </c>
      <c r="J11" s="6" t="n">
        <v>0</v>
      </c>
      <c r="K11" s="7" t="n">
        <v>0</v>
      </c>
      <c r="L11" s="6" t="n">
        <v>3</v>
      </c>
      <c r="M11" s="7" t="n">
        <v>662330</v>
      </c>
      <c r="N11" s="6" t="n">
        <v>0</v>
      </c>
      <c r="O11" s="7" t="n">
        <v>0</v>
      </c>
      <c r="P11" s="6" t="n">
        <v>3</v>
      </c>
      <c r="Q11" s="7" t="n">
        <v>862400</v>
      </c>
      <c r="R11" s="6" t="n">
        <v>2</v>
      </c>
      <c r="S11" s="7" t="n">
        <v>436600</v>
      </c>
      <c r="T11" s="6" t="n">
        <v>37</v>
      </c>
      <c r="U11" s="7" t="n">
        <v>7119080</v>
      </c>
      <c r="V11" s="6" t="n">
        <v>8</v>
      </c>
      <c r="W11" s="7" t="n">
        <v>2380650</v>
      </c>
      <c r="X11" s="6" t="n">
        <v>2</v>
      </c>
      <c r="Y11" s="7" t="n">
        <v>342180</v>
      </c>
      <c r="Z11" s="6" t="n">
        <v>89</v>
      </c>
      <c r="AA11" s="7" t="n">
        <v>27104250</v>
      </c>
      <c r="AB11" s="6" t="n">
        <v>0</v>
      </c>
      <c r="AC11" s="7" t="n">
        <v>0</v>
      </c>
      <c r="AD11" s="6" t="n">
        <v>16</v>
      </c>
      <c r="AE11" s="7" t="n">
        <v>5657950</v>
      </c>
      <c r="AF11" s="6" t="n">
        <v>0</v>
      </c>
      <c r="AG11" s="7" t="n">
        <v>0</v>
      </c>
    </row>
    <row r="12" ht="21" customHeight="1" thickBot="1">
      <c r="A12" s="46" t="n">
        <v>46243</v>
      </c>
      <c r="B12" s="49">
        <f>D12+F12+H12+J12+L12+N12+P12+R12+T12+V12+X12+Z12+AB12+AD12+AF12</f>
        <v/>
      </c>
      <c r="C12" s="50">
        <f>E12+G12+I12+K12+M12+O12+Q12+S12+U12+W12+Y12+AA12+AC12+AE12+AG12</f>
        <v/>
      </c>
      <c r="D12" s="6" t="n">
        <v>6</v>
      </c>
      <c r="E12" s="7" t="n">
        <v>1386060</v>
      </c>
      <c r="F12" s="6" t="n">
        <v>12</v>
      </c>
      <c r="G12" s="7" t="n">
        <v>3463780</v>
      </c>
      <c r="H12" s="6" t="n">
        <v>0</v>
      </c>
      <c r="I12" s="7" t="n">
        <v>0</v>
      </c>
      <c r="J12" s="6" t="n">
        <v>1</v>
      </c>
      <c r="K12" s="7" t="n">
        <v>215650</v>
      </c>
      <c r="L12" s="6" t="n">
        <v>4</v>
      </c>
      <c r="M12" s="7" t="n">
        <v>997210</v>
      </c>
      <c r="N12" s="6" t="n">
        <v>0</v>
      </c>
      <c r="O12" s="7" t="n">
        <v>0</v>
      </c>
      <c r="P12" s="6" t="n">
        <v>0</v>
      </c>
      <c r="Q12" s="7" t="n">
        <v>0</v>
      </c>
      <c r="R12" s="6" t="n">
        <v>0</v>
      </c>
      <c r="S12" s="7" t="n">
        <v>0</v>
      </c>
      <c r="T12" s="6" t="n">
        <v>7</v>
      </c>
      <c r="U12" s="7" t="n">
        <v>3733370</v>
      </c>
      <c r="V12" s="6" t="n">
        <v>0</v>
      </c>
      <c r="W12" s="7" t="n">
        <v>0</v>
      </c>
      <c r="X12" s="6" t="n">
        <v>7</v>
      </c>
      <c r="Y12" s="7" t="n">
        <v>1295280</v>
      </c>
      <c r="Z12" s="6" t="n">
        <v>42</v>
      </c>
      <c r="AA12" s="7" t="n">
        <v>11416780</v>
      </c>
      <c r="AB12" s="6" t="n">
        <v>9</v>
      </c>
      <c r="AC12" s="7" t="n">
        <v>1556580</v>
      </c>
      <c r="AD12" s="6" t="n">
        <v>0</v>
      </c>
      <c r="AE12" s="7" t="n">
        <v>0</v>
      </c>
      <c r="AF12" s="6" t="n">
        <v>0</v>
      </c>
      <c r="AG12" s="7" t="n">
        <v>0</v>
      </c>
    </row>
    <row r="13" ht="21" customHeight="1" thickBot="1">
      <c r="A13" s="46" t="n">
        <v>46244</v>
      </c>
      <c r="B13" s="49">
        <f>D13+F13+H13+J13+L13+N13+P13+R13+T13+V13+X13+Z13+AB13+AD13+AF13</f>
        <v/>
      </c>
      <c r="C13" s="50">
        <f>E13+G13+I13+K13+M13+O13+Q13+S13+U13+W13+Y13+AA13+AC13+AE13+AG13</f>
        <v/>
      </c>
      <c r="D13" s="6" t="n">
        <v>16</v>
      </c>
      <c r="E13" s="7" t="n">
        <v>2771410</v>
      </c>
      <c r="F13" s="6" t="n">
        <v>10</v>
      </c>
      <c r="G13" s="7" t="n">
        <v>2735790</v>
      </c>
      <c r="H13" s="6" t="n">
        <v>1</v>
      </c>
      <c r="I13" s="7" t="n">
        <v>306000</v>
      </c>
      <c r="J13" s="6" t="n">
        <v>0</v>
      </c>
      <c r="K13" s="7" t="n">
        <v>0</v>
      </c>
      <c r="L13" s="6" t="n">
        <v>17</v>
      </c>
      <c r="M13" s="7" t="n">
        <v>3941590</v>
      </c>
      <c r="N13" s="6" t="n">
        <v>1</v>
      </c>
      <c r="O13" s="56" t="n">
        <v>171090</v>
      </c>
      <c r="P13" s="6" t="n">
        <v>0</v>
      </c>
      <c r="Q13" s="56" t="n">
        <v>0</v>
      </c>
      <c r="R13" s="6" t="n">
        <v>3</v>
      </c>
      <c r="S13" s="56" t="n">
        <v>653320</v>
      </c>
      <c r="T13" s="6" t="n">
        <v>7</v>
      </c>
      <c r="U13" s="7" t="n">
        <v>1778720</v>
      </c>
      <c r="V13" s="6" t="n">
        <v>0</v>
      </c>
      <c r="W13" s="7" t="n">
        <v>0</v>
      </c>
      <c r="X13" s="6" t="n">
        <v>8</v>
      </c>
      <c r="Y13" s="7" t="n">
        <v>2193540</v>
      </c>
      <c r="Z13" s="6" t="n">
        <v>48</v>
      </c>
      <c r="AA13" s="7" t="n">
        <v>15552100</v>
      </c>
      <c r="AB13" s="6" t="n">
        <v>12</v>
      </c>
      <c r="AC13" s="7" t="n">
        <v>2820790</v>
      </c>
      <c r="AD13" s="6" t="n">
        <v>24</v>
      </c>
      <c r="AE13" s="7" t="n">
        <v>9683800</v>
      </c>
      <c r="AF13" s="6" t="n">
        <v>0</v>
      </c>
      <c r="AG13" s="7" t="n">
        <v>0</v>
      </c>
    </row>
    <row r="14" ht="21" customHeight="1" thickBot="1">
      <c r="A14" s="46" t="n">
        <v>46245</v>
      </c>
      <c r="B14" s="49">
        <f>D14+F14+H14+J14+L14+N14+P14+R14+T14+V14+X14+Z14+AB14+AD14+AF14</f>
        <v/>
      </c>
      <c r="C14" s="50">
        <f>E14+G14+I14+K14+M14+O14+Q14+S14+U14+W14+Y14+AA14+AC14+AE14+AG14</f>
        <v/>
      </c>
      <c r="D14" s="6" t="n">
        <v>5</v>
      </c>
      <c r="E14" s="7" t="n">
        <v>955080</v>
      </c>
      <c r="F14" s="6" t="n">
        <v>19</v>
      </c>
      <c r="G14" s="7" t="n">
        <v>5390690</v>
      </c>
      <c r="H14" s="6" t="n">
        <v>0</v>
      </c>
      <c r="I14" s="7" t="n">
        <v>0</v>
      </c>
      <c r="J14" s="6" t="n">
        <v>5</v>
      </c>
      <c r="K14" s="7" t="n">
        <v>1409500</v>
      </c>
      <c r="L14" s="6" t="n">
        <v>3</v>
      </c>
      <c r="M14" s="2" t="n">
        <v>558890</v>
      </c>
      <c r="N14" s="6" t="n">
        <v>0</v>
      </c>
      <c r="O14" s="56" t="n">
        <v>0</v>
      </c>
      <c r="P14" s="6" t="n">
        <v>30</v>
      </c>
      <c r="Q14" s="56" t="n">
        <v>4819610</v>
      </c>
      <c r="R14" s="6" t="n">
        <v>0</v>
      </c>
      <c r="S14" s="7" t="n">
        <v>0</v>
      </c>
      <c r="T14" s="6" t="n">
        <v>23</v>
      </c>
      <c r="U14" s="7" t="n">
        <v>7089500</v>
      </c>
      <c r="V14" s="6" t="n">
        <v>14</v>
      </c>
      <c r="W14" s="7" t="n">
        <v>6598070</v>
      </c>
      <c r="X14" s="6" t="n">
        <v>2</v>
      </c>
      <c r="Y14" s="7" t="n">
        <v>213440</v>
      </c>
      <c r="Z14" s="6" t="n">
        <v>51</v>
      </c>
      <c r="AA14" s="7" t="n">
        <v>16182820</v>
      </c>
      <c r="AB14" s="6" t="n">
        <v>23</v>
      </c>
      <c r="AC14" s="7" t="n">
        <v>4663940</v>
      </c>
      <c r="AD14" s="6" t="n">
        <v>21</v>
      </c>
      <c r="AE14" s="7" t="n">
        <v>5341590</v>
      </c>
      <c r="AF14" s="6" t="n">
        <v>0</v>
      </c>
      <c r="AG14" s="7" t="n">
        <v>0</v>
      </c>
    </row>
    <row r="15" ht="21" customHeight="1" thickBot="1">
      <c r="A15" s="46" t="n">
        <v>46246</v>
      </c>
      <c r="B15" s="49">
        <f>D15+F15+H15+J15+L15+N15+P15+R15+T15+V15+X15+Z15+AB15+AD15+AF15</f>
        <v/>
      </c>
      <c r="C15" s="50">
        <f>E15+G15+I15+K15+M15+O15+Q15+S15+U15+W15+Y15+AA15+AC15+AE15+AG15</f>
        <v/>
      </c>
      <c r="D15" s="6" t="n">
        <v>0</v>
      </c>
      <c r="E15" s="7" t="n">
        <v>0</v>
      </c>
      <c r="F15" s="6" t="n">
        <v>4</v>
      </c>
      <c r="G15" s="7" t="n">
        <v>1154620</v>
      </c>
      <c r="H15" s="6" t="n">
        <v>0</v>
      </c>
      <c r="I15" s="7" t="n">
        <v>0</v>
      </c>
      <c r="J15" s="6" t="n">
        <v>2</v>
      </c>
      <c r="K15" s="7" t="n">
        <v>285960</v>
      </c>
      <c r="L15" s="6" t="n">
        <v>1</v>
      </c>
      <c r="M15" s="7" t="n">
        <v>282480</v>
      </c>
      <c r="N15" s="6" t="n">
        <v>1</v>
      </c>
      <c r="O15" s="7" t="n">
        <v>202920</v>
      </c>
      <c r="P15" s="6" t="n">
        <v>2</v>
      </c>
      <c r="Q15" s="7" t="n">
        <v>275690</v>
      </c>
      <c r="R15" s="6" t="n">
        <v>4</v>
      </c>
      <c r="S15" s="7" t="n">
        <v>750690</v>
      </c>
      <c r="T15" s="6" t="n">
        <v>6</v>
      </c>
      <c r="U15" s="7" t="n">
        <v>1825260</v>
      </c>
      <c r="V15" s="6" t="n">
        <v>2</v>
      </c>
      <c r="W15" s="7" t="n">
        <v>1051120</v>
      </c>
      <c r="X15" s="6" t="n">
        <v>4</v>
      </c>
      <c r="Y15" s="7" t="n">
        <v>687480</v>
      </c>
      <c r="Z15" s="6" t="n">
        <v>18</v>
      </c>
      <c r="AA15" s="7" t="n">
        <v>4137250</v>
      </c>
      <c r="AB15" s="6" t="n">
        <v>8</v>
      </c>
      <c r="AC15" s="7" t="n">
        <v>2346170</v>
      </c>
      <c r="AD15" s="6" t="n">
        <v>4</v>
      </c>
      <c r="AE15" s="7" t="n">
        <v>1122620</v>
      </c>
      <c r="AF15" s="6" t="n">
        <v>2</v>
      </c>
      <c r="AG15" s="7" t="n">
        <v>490280</v>
      </c>
    </row>
    <row r="16" ht="21" customHeight="1" thickBot="1">
      <c r="A16" s="46" t="n">
        <v>46247</v>
      </c>
      <c r="B16" s="49">
        <f>D16+F16+H16+J16+L16+N16+P16+R16+T16+V16+X16+Z16+AB16+AD16+AF16</f>
        <v/>
      </c>
      <c r="C16" s="50">
        <f>E16+G16+I16+K16+M16+O16+Q16+S16+U16+W16+Y16+AA16+AC16+AE16+AG16</f>
        <v/>
      </c>
      <c r="D16" s="6" t="n">
        <v>4</v>
      </c>
      <c r="E16" s="7" t="n">
        <v>924000</v>
      </c>
      <c r="F16" s="6" t="n">
        <v>15</v>
      </c>
      <c r="G16" s="7" t="n">
        <v>2991460</v>
      </c>
      <c r="H16" s="6" t="n">
        <v>2</v>
      </c>
      <c r="I16" s="7" t="n">
        <v>1500000</v>
      </c>
      <c r="J16" s="6" t="n">
        <v>0</v>
      </c>
      <c r="K16" s="7" t="n">
        <v>0</v>
      </c>
      <c r="L16" s="6" t="n">
        <v>8</v>
      </c>
      <c r="M16" s="7" t="n">
        <v>2597160</v>
      </c>
      <c r="N16" s="6" t="n">
        <v>3</v>
      </c>
      <c r="O16" s="7" t="n">
        <v>605210</v>
      </c>
      <c r="P16" s="6" t="n">
        <v>0</v>
      </c>
      <c r="Q16" s="7" t="n">
        <v>0</v>
      </c>
      <c r="R16" s="6" t="n">
        <v>0</v>
      </c>
      <c r="S16" s="7" t="n">
        <v>0</v>
      </c>
      <c r="T16" s="6" t="n">
        <v>16</v>
      </c>
      <c r="U16" s="7" t="n">
        <v>4124320</v>
      </c>
      <c r="V16" s="6" t="n">
        <v>12</v>
      </c>
      <c r="W16" s="7" t="n">
        <v>3932430</v>
      </c>
      <c r="X16" s="6" t="n">
        <v>11</v>
      </c>
      <c r="Y16" s="7" t="n">
        <v>2482490</v>
      </c>
      <c r="Z16" s="6" t="n">
        <v>33</v>
      </c>
      <c r="AA16" s="7" t="n">
        <v>7835130</v>
      </c>
      <c r="AB16" s="6" t="n">
        <v>5</v>
      </c>
      <c r="AC16" s="7" t="n">
        <v>1194470</v>
      </c>
      <c r="AD16" s="6" t="n">
        <v>18</v>
      </c>
      <c r="AE16" s="7" t="n">
        <v>3649410</v>
      </c>
      <c r="AF16" s="6" t="n">
        <v>2</v>
      </c>
      <c r="AG16" s="7" t="n">
        <v>823980</v>
      </c>
    </row>
    <row r="17" ht="21" customHeight="1" thickBot="1">
      <c r="A17" s="46" t="n">
        <v>46248</v>
      </c>
      <c r="B17" s="49">
        <f>D17+F17+H17+J17+L17+N17+P17+R17+T17+V17+X17+Z17+AB17+AD17+AF17</f>
        <v/>
      </c>
      <c r="C17" s="50">
        <f>E17+G17+I17+K17+M17+O17+Q17+S17+U17+W17+Y17+AA17+AC17+AE17+AG17</f>
        <v/>
      </c>
      <c r="D17" s="6" t="n"/>
      <c r="E17" s="7" t="n"/>
      <c r="F17" s="6" t="n"/>
      <c r="G17" s="7" t="n"/>
      <c r="H17" s="6" t="n"/>
      <c r="I17" s="7" t="n"/>
      <c r="J17" s="6" t="n"/>
      <c r="K17" s="7" t="n"/>
      <c r="L17" s="6" t="n"/>
      <c r="M17" s="7" t="n"/>
      <c r="N17" s="6" t="n"/>
      <c r="O17" s="7" t="n"/>
      <c r="P17" s="6" t="n"/>
      <c r="Q17" s="7" t="n"/>
      <c r="R17" s="6" t="n"/>
      <c r="S17" s="7" t="n"/>
      <c r="T17" s="6" t="n"/>
      <c r="U17" s="7" t="n"/>
      <c r="V17" s="6" t="n"/>
      <c r="W17" s="7" t="n"/>
      <c r="X17" s="6" t="n"/>
      <c r="Y17" s="7" t="n"/>
      <c r="Z17" s="6" t="n"/>
      <c r="AA17" s="7" t="n"/>
      <c r="AB17" s="6" t="n"/>
      <c r="AC17" s="7" t="n"/>
      <c r="AD17" s="6" t="n"/>
      <c r="AE17" s="7" t="n"/>
      <c r="AF17" s="6" t="n"/>
      <c r="AG17" s="7" t="n"/>
    </row>
    <row r="18" ht="21" customHeight="1" thickBot="1">
      <c r="A18" s="46" t="n">
        <v>46249</v>
      </c>
      <c r="B18" s="49">
        <f>D18+F18+H18+J18+L18+N18+P18+R18+T18+V18+X18+Z18+AB18+AD18+AF18</f>
        <v/>
      </c>
      <c r="C18" s="50">
        <f>E18+G18+I18+K18+M18+O18+Q18+S18+U18+W18+Y18+AA18+AC18+AE18+AG18</f>
        <v/>
      </c>
      <c r="D18" s="6" t="n"/>
      <c r="E18" s="7" t="n"/>
      <c r="F18" s="6" t="n"/>
      <c r="G18" s="7" t="n"/>
      <c r="H18" s="6" t="n"/>
      <c r="I18" s="7" t="n"/>
      <c r="J18" s="6" t="n"/>
      <c r="K18" s="7" t="n"/>
      <c r="L18" s="6" t="n"/>
      <c r="M18" s="7" t="n"/>
      <c r="N18" s="6" t="n"/>
      <c r="O18" s="7" t="n"/>
      <c r="P18" s="6" t="n"/>
      <c r="Q18" s="7" t="n"/>
      <c r="R18" s="6" t="n"/>
      <c r="S18" s="7" t="n"/>
      <c r="T18" s="6" t="n"/>
      <c r="U18" s="7" t="n"/>
      <c r="V18" s="6" t="n"/>
      <c r="W18" s="7" t="n"/>
      <c r="X18" s="6" t="n"/>
      <c r="Y18" s="7" t="n"/>
      <c r="Z18" s="6" t="n"/>
      <c r="AA18" s="7" t="n"/>
      <c r="AB18" s="6" t="n"/>
      <c r="AC18" s="7" t="n"/>
      <c r="AD18" s="6" t="n"/>
      <c r="AE18" s="7" t="n"/>
      <c r="AF18" s="6" t="n"/>
      <c r="AG18" s="7" t="n"/>
    </row>
    <row r="19" ht="21" customHeight="1" thickBot="1">
      <c r="A19" s="46" t="n">
        <v>46250</v>
      </c>
      <c r="B19" s="49">
        <f>D19+F19+H19+J19+L19+N19+P19+R19+T19+V19+X19+Z19+AB19+AD19+AF19</f>
        <v/>
      </c>
      <c r="C19" s="50">
        <f>E19+G19+I19+K19+M19+O19+Q19+S19+U19+W19+Y19+AA19+AC19+AE19+AG19</f>
        <v/>
      </c>
      <c r="D19" s="6" t="n"/>
      <c r="E19" s="7" t="n"/>
      <c r="F19" s="6" t="n"/>
      <c r="G19" s="7" t="n"/>
      <c r="H19" s="6" t="n"/>
      <c r="I19" s="7" t="n"/>
      <c r="J19" s="6" t="n"/>
      <c r="K19" s="7" t="n"/>
      <c r="L19" s="6" t="n"/>
      <c r="M19" s="7" t="n"/>
      <c r="N19" s="6" t="n"/>
      <c r="O19" s="56" t="n"/>
      <c r="P19" s="6" t="n"/>
      <c r="Q19" s="7" t="n"/>
      <c r="R19" s="6" t="n"/>
      <c r="S19" s="7" t="n"/>
      <c r="T19" s="6" t="n"/>
      <c r="U19" s="7" t="n"/>
      <c r="V19" s="6" t="n"/>
      <c r="W19" s="7" t="n"/>
      <c r="X19" s="6" t="n"/>
      <c r="Y19" s="7" t="n"/>
      <c r="Z19" s="6" t="n"/>
      <c r="AA19" s="7" t="n"/>
      <c r="AB19" s="6" t="n"/>
      <c r="AC19" s="7" t="n"/>
      <c r="AD19" s="6" t="n"/>
      <c r="AE19" s="7" t="n"/>
      <c r="AF19" s="6" t="n"/>
      <c r="AG19" s="7" t="n"/>
    </row>
    <row r="20" ht="21" customHeight="1" thickBot="1">
      <c r="A20" s="46" t="n">
        <v>46251</v>
      </c>
      <c r="B20" s="49">
        <f>D20+F20+H20+J20+L20+N20+P20+R20+T20+V20+X20+Z20+AB20+AD20+AF20</f>
        <v/>
      </c>
      <c r="C20" s="50">
        <f>E20+G20+I20+K20+M20+O20+Q20+S20+U20+W20+Y20+AA20+AC20+AE20+AG20</f>
        <v/>
      </c>
      <c r="D20" s="6" t="n"/>
      <c r="E20" s="7" t="n"/>
      <c r="F20" s="6" t="n"/>
      <c r="G20" s="7" t="n"/>
      <c r="H20" s="6" t="n"/>
      <c r="I20" s="7" t="n"/>
      <c r="J20" s="6" t="n"/>
      <c r="K20" s="7" t="n"/>
      <c r="L20" s="6" t="n"/>
      <c r="M20" s="7" t="n"/>
      <c r="N20" s="6" t="n"/>
      <c r="O20" s="7" t="n"/>
      <c r="P20" s="6" t="n"/>
      <c r="Q20" s="7" t="n"/>
      <c r="R20" s="6" t="n"/>
      <c r="S20" s="7" t="n"/>
      <c r="T20" s="6" t="n"/>
      <c r="U20" s="7" t="n"/>
      <c r="V20" s="6" t="n"/>
      <c r="W20" s="7" t="n"/>
      <c r="X20" s="6" t="n"/>
      <c r="Y20" s="7" t="n"/>
      <c r="Z20" s="6" t="n"/>
      <c r="AA20" s="7" t="n"/>
      <c r="AB20" s="6" t="n"/>
      <c r="AC20" s="7" t="n"/>
      <c r="AD20" s="6" t="n"/>
      <c r="AE20" s="7" t="n"/>
      <c r="AF20" s="6" t="n"/>
      <c r="AG20" s="7" t="n"/>
    </row>
    <row r="21" ht="21" customHeight="1" thickBot="1">
      <c r="A21" s="46" t="n">
        <v>46252</v>
      </c>
      <c r="B21" s="49">
        <f>D21+F21+H21+J21+L21+N21+P21+R21+T21+V21+X21+Z21+AB21+AD21+AF21</f>
        <v/>
      </c>
      <c r="C21" s="50">
        <f>E21+G21+I21+K21+M21+O21+Q21+S21+U21+W21+Y21+AA21+AC21+AE21+AG21</f>
        <v/>
      </c>
      <c r="D21" s="6" t="n"/>
      <c r="E21" s="7" t="n"/>
      <c r="F21" s="6" t="n"/>
      <c r="G21" s="7" t="n"/>
      <c r="H21" s="6" t="n"/>
      <c r="I21" s="7" t="n"/>
      <c r="J21" s="6" t="n"/>
      <c r="K21" s="7" t="n"/>
      <c r="L21" s="6" t="n"/>
      <c r="M21" s="7" t="n"/>
      <c r="N21" s="6" t="n"/>
      <c r="O21" s="7" t="n"/>
      <c r="P21" s="6" t="n"/>
      <c r="Q21" s="7" t="n"/>
      <c r="R21" s="6" t="n"/>
      <c r="S21" s="7" t="n"/>
      <c r="T21" s="6" t="n"/>
      <c r="U21" s="7" t="n"/>
      <c r="V21" s="6" t="n"/>
      <c r="W21" s="7" t="n"/>
      <c r="X21" s="6" t="n"/>
      <c r="Y21" s="7" t="n"/>
      <c r="Z21" s="6" t="n"/>
      <c r="AA21" s="7" t="n"/>
      <c r="AB21" s="6" t="n"/>
      <c r="AC21" s="7" t="n"/>
      <c r="AD21" s="6" t="n"/>
      <c r="AE21" s="7" t="n"/>
      <c r="AF21" s="6" t="n"/>
      <c r="AG21" s="7" t="n"/>
    </row>
    <row r="22" ht="21" customHeight="1" thickBot="1">
      <c r="A22" s="46" t="n">
        <v>46253</v>
      </c>
      <c r="B22" s="49">
        <f>D22+F22+H22+J22+L22+N22+P22+R22+T22+V22+X22+Z22+AB22+AD22+AF22</f>
        <v/>
      </c>
      <c r="C22" s="50">
        <f>E22+G22+I22+K22+M22+O22+Q22+S22+U22+W22+Y22+AA22+AC22+AE22+AG22</f>
        <v/>
      </c>
      <c r="D22" s="6" t="n"/>
      <c r="E22" s="7" t="n"/>
      <c r="F22" s="6" t="n"/>
      <c r="G22" s="7" t="n"/>
      <c r="H22" s="6" t="n"/>
      <c r="I22" s="7" t="n"/>
      <c r="J22" s="6" t="n"/>
      <c r="K22" s="7" t="n"/>
      <c r="L22" s="6" t="n"/>
      <c r="M22" s="7" t="n"/>
      <c r="N22" s="6" t="n"/>
      <c r="O22" s="7" t="n"/>
      <c r="P22" s="6" t="n"/>
      <c r="Q22" s="7" t="n"/>
      <c r="R22" s="6" t="n"/>
      <c r="S22" s="7" t="n"/>
      <c r="T22" s="6" t="n"/>
      <c r="U22" s="7" t="n"/>
      <c r="V22" s="6" t="n"/>
      <c r="W22" s="7" t="n"/>
      <c r="X22" s="6" t="n"/>
      <c r="Y22" s="7" t="n"/>
      <c r="Z22" s="6" t="n"/>
      <c r="AA22" s="7" t="n"/>
      <c r="AB22" s="6" t="n"/>
      <c r="AC22" s="7" t="n"/>
      <c r="AD22" s="6" t="n"/>
      <c r="AE22" s="7" t="n"/>
      <c r="AF22" s="6" t="n"/>
      <c r="AG22" s="7" t="n"/>
    </row>
    <row r="23" ht="21" customHeight="1" thickBot="1">
      <c r="A23" s="46" t="n">
        <v>46254</v>
      </c>
      <c r="B23" s="49">
        <f>D23+F23+H23+J23+L23+N23+P23+R23+T23+V23+X23+Z23+AB23+AD23+AF23</f>
        <v/>
      </c>
      <c r="C23" s="50">
        <f>E23+G23+I23+K23+M23+O23+Q23+S23+U23+W23+Y23+AA23+AC23+AE23+AG23</f>
        <v/>
      </c>
      <c r="D23" s="6" t="n"/>
      <c r="E23" s="7" t="n"/>
      <c r="F23" s="6" t="n"/>
      <c r="G23" s="7" t="n"/>
      <c r="H23" s="6" t="n"/>
      <c r="I23" s="7" t="n"/>
      <c r="J23" s="6" t="n"/>
      <c r="K23" s="7" t="n"/>
      <c r="L23" s="6" t="n"/>
      <c r="M23" s="7" t="n"/>
      <c r="N23" s="6" t="n"/>
      <c r="O23" s="7" t="n"/>
      <c r="P23" s="6" t="n"/>
      <c r="Q23" s="7" t="n"/>
      <c r="R23" s="6" t="n"/>
      <c r="S23" s="7" t="n"/>
      <c r="T23" s="6" t="n"/>
      <c r="U23" s="7" t="n"/>
      <c r="V23" s="6" t="n"/>
      <c r="W23" s="7" t="n"/>
      <c r="X23" s="6" t="n"/>
      <c r="Y23" s="7" t="n"/>
      <c r="Z23" s="6" t="n"/>
      <c r="AA23" s="7" t="n"/>
      <c r="AB23" s="6" t="n"/>
      <c r="AC23" s="7" t="n"/>
      <c r="AD23" s="65" t="n"/>
      <c r="AE23" s="66" t="n"/>
      <c r="AF23" s="6" t="n"/>
      <c r="AG23" s="7" t="n"/>
    </row>
    <row r="24" ht="21" customHeight="1" thickBot="1">
      <c r="A24" s="46" t="n">
        <v>46255</v>
      </c>
      <c r="B24" s="49">
        <f>D24+F24+H24+J24+L24+N24+P24+R24+T24+V24+X24+Z24+AB24+AD24+AF24</f>
        <v/>
      </c>
      <c r="C24" s="50">
        <f>E24+G24+I24+K24+M24+O24+Q24+S24+U24+W24+Y24+AA24+AC24+AE24+AG24</f>
        <v/>
      </c>
      <c r="D24" s="6" t="n"/>
      <c r="E24" s="7" t="n"/>
      <c r="F24" s="6" t="n"/>
      <c r="G24" s="7" t="n"/>
      <c r="H24" s="6" t="n"/>
      <c r="I24" s="7" t="n"/>
      <c r="J24" s="6" t="n"/>
      <c r="K24" s="7" t="n"/>
      <c r="L24" s="6" t="n"/>
      <c r="M24" s="7" t="n"/>
      <c r="N24" s="6" t="n"/>
      <c r="O24" s="7" t="n"/>
      <c r="P24" s="6" t="n"/>
      <c r="Q24" s="7" t="n"/>
      <c r="R24" s="6" t="n"/>
      <c r="S24" s="7" t="n"/>
      <c r="T24" s="6" t="n"/>
      <c r="U24" s="7" t="n"/>
      <c r="V24" s="6" t="n"/>
      <c r="W24" s="7" t="n"/>
      <c r="X24" s="6" t="n"/>
      <c r="Y24" s="7" t="n"/>
      <c r="Z24" s="6" t="n"/>
      <c r="AA24" s="7" t="n"/>
      <c r="AB24" s="6" t="n"/>
      <c r="AC24" s="7" t="n"/>
      <c r="AD24" s="6" t="n"/>
      <c r="AE24" s="7" t="n"/>
      <c r="AF24" s="6" t="n"/>
      <c r="AG24" s="7" t="n"/>
    </row>
    <row r="25" ht="21" customHeight="1" thickBot="1">
      <c r="A25" s="46" t="n">
        <v>46256</v>
      </c>
      <c r="B25" s="49">
        <f>D25+F25+H25+J25+L25+N25+P25+R25+T25+V25+X25+Z25+AB25+AD25+AF25</f>
        <v/>
      </c>
      <c r="C25" s="50">
        <f>E25+G25+I25+K25+M25+O25+Q25+S25+U25+W25+Y25+AA25+AC25+AE25+AG25</f>
        <v/>
      </c>
      <c r="D25" s="6" t="n"/>
      <c r="E25" s="7" t="n"/>
      <c r="F25" s="6" t="n"/>
      <c r="G25" s="7" t="n"/>
      <c r="H25" s="6" t="n"/>
      <c r="I25" s="7" t="n"/>
      <c r="J25" s="6" t="n"/>
      <c r="K25" s="7" t="n"/>
      <c r="L25" s="6" t="n"/>
      <c r="M25" s="7" t="n"/>
      <c r="N25" s="6" t="n"/>
      <c r="O25" s="7" t="n"/>
      <c r="P25" s="6" t="n"/>
      <c r="Q25" s="7" t="n"/>
      <c r="R25" s="6" t="n"/>
      <c r="S25" s="7" t="n"/>
      <c r="T25" s="6" t="n"/>
      <c r="U25" s="7" t="n"/>
      <c r="V25" s="6" t="n"/>
      <c r="W25" s="7" t="n"/>
      <c r="X25" s="6" t="n"/>
      <c r="Y25" s="7" t="n"/>
      <c r="Z25" s="6" t="n"/>
      <c r="AA25" s="7" t="n"/>
      <c r="AB25" s="6" t="n"/>
      <c r="AC25" s="7" t="n"/>
      <c r="AD25" s="6" t="n"/>
      <c r="AE25" s="7" t="n"/>
      <c r="AF25" s="6" t="n"/>
      <c r="AG25" s="7" t="n"/>
    </row>
    <row r="26" ht="21" customHeight="1" thickBot="1">
      <c r="A26" s="46" t="n">
        <v>46257</v>
      </c>
      <c r="B26" s="49">
        <f>D26+F26+H26+J26+L26+N26+P26+R26+T26+V26+X26+Z26+AB26+AD26+AF26</f>
        <v/>
      </c>
      <c r="C26" s="50">
        <f>E26+G26+I26+K26+M26+O26+Q26+S26+U26+W26+Y26+AA26+AC26+AE26+AG26</f>
        <v/>
      </c>
      <c r="D26" s="6" t="n"/>
      <c r="E26" s="7" t="n"/>
      <c r="F26" s="6" t="n"/>
      <c r="G26" s="7" t="n"/>
      <c r="H26" s="6" t="n"/>
      <c r="I26" s="7" t="n"/>
      <c r="J26" s="6" t="n"/>
      <c r="K26" s="7" t="n"/>
      <c r="L26" s="6" t="n"/>
      <c r="M26" s="7" t="n"/>
      <c r="N26" s="6" t="n"/>
      <c r="O26" s="7" t="n"/>
      <c r="P26" s="6" t="n"/>
      <c r="Q26" s="7" t="n"/>
      <c r="R26" s="6" t="n"/>
      <c r="S26" s="7" t="n"/>
      <c r="T26" s="6" t="n"/>
      <c r="U26" s="7" t="n"/>
      <c r="V26" s="6" t="n"/>
      <c r="W26" s="7" t="n"/>
      <c r="X26" s="6" t="n"/>
      <c r="Y26" s="7" t="n"/>
      <c r="Z26" s="6" t="n"/>
      <c r="AA26" s="7" t="n"/>
      <c r="AB26" s="6" t="n"/>
      <c r="AC26" s="7" t="n"/>
      <c r="AD26" s="6" t="n"/>
      <c r="AE26" s="7" t="n"/>
      <c r="AF26" s="6" t="n"/>
      <c r="AG26" s="7" t="n"/>
    </row>
    <row r="27" ht="21" customHeight="1" thickBot="1">
      <c r="A27" s="46" t="n">
        <v>46258</v>
      </c>
      <c r="B27" s="49">
        <f>D27+F27+H27+J27+L27+N27+P27+R27+T27+V27+X27+Z27+AB27+AD27+AF27</f>
        <v/>
      </c>
      <c r="C27" s="50">
        <f>E27+G27+I27+K27+M27+O27+Q27+S27+U27+W27+Y27+AA27+AC27+AE27+AG27</f>
        <v/>
      </c>
      <c r="D27" s="6" t="n"/>
      <c r="E27" s="7" t="n"/>
      <c r="F27" s="6" t="n"/>
      <c r="G27" s="7" t="n"/>
      <c r="H27" s="6" t="n"/>
      <c r="I27" s="7" t="n"/>
      <c r="J27" s="6" t="n"/>
      <c r="K27" s="7" t="n"/>
      <c r="L27" s="6" t="n"/>
      <c r="M27" s="7" t="n"/>
      <c r="N27" s="6" t="n"/>
      <c r="O27" s="7" t="n"/>
      <c r="P27" s="6" t="n"/>
      <c r="Q27" s="7" t="n"/>
      <c r="R27" s="6" t="n"/>
      <c r="S27" s="7" t="n"/>
      <c r="T27" s="6" t="n"/>
      <c r="U27" s="7" t="n"/>
      <c r="V27" s="6" t="n"/>
      <c r="W27" s="7" t="n"/>
      <c r="X27" s="6" t="n"/>
      <c r="Y27" s="7" t="n"/>
      <c r="Z27" s="6" t="n"/>
      <c r="AA27" s="7" t="n"/>
      <c r="AB27" s="6" t="n"/>
      <c r="AC27" s="7" t="n"/>
      <c r="AD27" s="6" t="n"/>
      <c r="AE27" s="7" t="n"/>
      <c r="AF27" s="6" t="n"/>
      <c r="AG27" s="7" t="n"/>
    </row>
    <row r="28" ht="21" customHeight="1" thickBot="1">
      <c r="A28" s="46" t="n">
        <v>46259</v>
      </c>
      <c r="B28" s="49">
        <f>D28+F28+H28+J28+L28+N28+P28+R28+T28+V28+X28+Z28+AB28+AD28+AF28</f>
        <v/>
      </c>
      <c r="C28" s="50">
        <f>E28+G28+I28+K28+M28+O28+Q28+S28+U28+W28+Y28+AA28+AC28+AE28+AG28</f>
        <v/>
      </c>
      <c r="D28" s="6" t="n"/>
      <c r="E28" s="7" t="n"/>
      <c r="F28" s="6" t="n"/>
      <c r="G28" s="7" t="n"/>
      <c r="H28" s="6" t="n"/>
      <c r="I28" s="7" t="n"/>
      <c r="J28" s="6" t="n"/>
      <c r="K28" s="7" t="n"/>
      <c r="L28" s="6" t="n"/>
      <c r="M28" s="7" t="n"/>
      <c r="N28" s="6" t="n"/>
      <c r="O28" s="7" t="n"/>
      <c r="P28" s="6" t="n"/>
      <c r="Q28" s="7" t="n"/>
      <c r="R28" s="6" t="n"/>
      <c r="S28" s="7" t="n"/>
      <c r="T28" s="6" t="n"/>
      <c r="U28" s="7" t="n"/>
      <c r="V28" s="6" t="n"/>
      <c r="W28" s="7" t="n"/>
      <c r="X28" s="6" t="n"/>
      <c r="Y28" s="7" t="n"/>
      <c r="Z28" s="6" t="n"/>
      <c r="AA28" s="7" t="n"/>
      <c r="AB28" s="6" t="n"/>
      <c r="AC28" s="7" t="n"/>
      <c r="AD28" s="6" t="n"/>
      <c r="AE28" s="7" t="n"/>
      <c r="AF28" s="6" t="n"/>
      <c r="AG28" s="7" t="n"/>
    </row>
    <row r="29" ht="21" customHeight="1" thickBot="1">
      <c r="A29" s="46" t="n">
        <v>46260</v>
      </c>
      <c r="B29" s="49">
        <f>D29+F29+H29+J29+L29+N29+P29+R29+T29+V29+X29+Z29+AB29+AD29+AF29</f>
        <v/>
      </c>
      <c r="C29" s="50">
        <f>E29+G29+I29+K29+M29+O29+Q29+S29+U29+W29+Y29+AA29+AC29+AE29+AG29</f>
        <v/>
      </c>
      <c r="D29" s="6" t="n"/>
      <c r="E29" s="7" t="n"/>
      <c r="F29" s="6" t="n"/>
      <c r="G29" s="7" t="n"/>
      <c r="H29" s="6" t="n"/>
      <c r="I29" s="7" t="n"/>
      <c r="J29" s="6" t="n"/>
      <c r="K29" s="7" t="n"/>
      <c r="L29" s="6" t="n"/>
      <c r="M29" s="7" t="n"/>
      <c r="N29" s="6" t="n"/>
      <c r="O29" s="7" t="n"/>
      <c r="P29" s="6" t="n"/>
      <c r="Q29" s="7" t="n"/>
      <c r="R29" s="6" t="n"/>
      <c r="S29" s="7" t="n"/>
      <c r="T29" s="6" t="n"/>
      <c r="U29" s="7" t="n"/>
      <c r="V29" s="6" t="n"/>
      <c r="W29" s="7" t="n"/>
      <c r="X29" s="6" t="n"/>
      <c r="Y29" s="7" t="n"/>
      <c r="Z29" s="6" t="n"/>
      <c r="AA29" s="7" t="n"/>
      <c r="AB29" s="6" t="n"/>
      <c r="AC29" s="7" t="n"/>
      <c r="AD29" s="6" t="n"/>
      <c r="AE29" s="7" t="n"/>
      <c r="AF29" s="6" t="n"/>
      <c r="AG29" s="7" t="n"/>
    </row>
    <row r="30" ht="21" customHeight="1" thickBot="1">
      <c r="A30" s="46" t="n">
        <v>46261</v>
      </c>
      <c r="B30" s="49">
        <f>D30+F30+H30+J30+L30+N30+P30+R30+T30+V30+X30+Z30+AB30+AD30+AF30</f>
        <v/>
      </c>
      <c r="C30" s="50">
        <f>E30+G30+I30+K30+M30+O30+Q30+S30+U30+W30+Y30+AA30+AC30+AE30+AG30</f>
        <v/>
      </c>
      <c r="D30" s="6" t="n"/>
      <c r="E30" s="7" t="n"/>
      <c r="F30" s="6" t="n"/>
      <c r="G30" s="7" t="n"/>
      <c r="H30" s="6" t="n"/>
      <c r="I30" s="7" t="n"/>
      <c r="J30" s="6" t="n"/>
      <c r="K30" s="7" t="n"/>
      <c r="L30" s="6" t="n"/>
      <c r="M30" s="7" t="n"/>
      <c r="N30" s="6" t="n"/>
      <c r="O30" s="7" t="n"/>
      <c r="P30" s="6" t="n"/>
      <c r="Q30" s="7" t="n"/>
      <c r="R30" s="6" t="n"/>
      <c r="S30" s="7" t="n"/>
      <c r="T30" s="6" t="n"/>
      <c r="U30" s="7" t="n"/>
      <c r="V30" s="6" t="n"/>
      <c r="W30" s="7" t="n"/>
      <c r="X30" s="6" t="n"/>
      <c r="Y30" s="7" t="n"/>
      <c r="Z30" s="6" t="n"/>
      <c r="AA30" s="7" t="n"/>
      <c r="AB30" s="6" t="n"/>
      <c r="AC30" s="7" t="n"/>
      <c r="AD30" s="6" t="n"/>
      <c r="AE30" s="7" t="n"/>
      <c r="AF30" s="6" t="n"/>
      <c r="AG30" s="7" t="n"/>
    </row>
    <row r="31" ht="21" customHeight="1" thickBot="1">
      <c r="A31" s="46" t="n">
        <v>46262</v>
      </c>
      <c r="B31" s="49">
        <f>D31+F31+H31+J31+L31+N31+P31+R31+T31+V31+X31+Z31+AB31+AD31+AF31</f>
        <v/>
      </c>
      <c r="C31" s="50">
        <f>E31+G31+I31+K31+M31+O31+Q31+S31+U31+W31+Y31+AA31+AC31+AE31+AG31</f>
        <v/>
      </c>
      <c r="D31" s="6" t="n"/>
      <c r="E31" s="7" t="n"/>
      <c r="F31" s="6" t="n"/>
      <c r="G31" s="7" t="n"/>
      <c r="H31" s="6" t="n"/>
      <c r="I31" s="7" t="n"/>
      <c r="J31" s="6" t="n"/>
      <c r="K31" s="7" t="n"/>
      <c r="L31" s="6" t="n"/>
      <c r="M31" s="7" t="n"/>
      <c r="N31" s="6" t="n"/>
      <c r="O31" s="7" t="n"/>
      <c r="P31" s="6" t="n"/>
      <c r="Q31" s="7" t="n"/>
      <c r="R31" s="6" t="n"/>
      <c r="S31" s="7" t="n"/>
      <c r="T31" s="6" t="n"/>
      <c r="U31" s="7" t="n"/>
      <c r="V31" s="6" t="n"/>
      <c r="W31" s="7" t="n"/>
      <c r="X31" s="6" t="n"/>
      <c r="Y31" s="7" t="n"/>
      <c r="Z31" s="6" t="n"/>
      <c r="AA31" s="7" t="n"/>
      <c r="AB31" s="6" t="n"/>
      <c r="AC31" s="7" t="n"/>
      <c r="AD31" s="6" t="n"/>
      <c r="AE31" s="7" t="n"/>
      <c r="AF31" s="6" t="n"/>
      <c r="AG31" s="7" t="n"/>
    </row>
    <row r="32" ht="21" customHeight="1" thickBot="1">
      <c r="A32" s="46" t="n">
        <v>46263</v>
      </c>
      <c r="B32" s="49">
        <f>D32+F32+H32+J32+L32+N32+P32+R32+T32+V32+X32+Z32+AB32+AD32+AF32</f>
        <v/>
      </c>
      <c r="C32" s="50">
        <f>E32+G32+I32+K32+M32+O32+Q32+S32+U32+W32+Y32+AA32+AC32+AE32+AG32</f>
        <v/>
      </c>
      <c r="D32" s="6" t="n"/>
      <c r="E32" s="7" t="n"/>
      <c r="F32" s="6" t="n"/>
      <c r="G32" s="7" t="n"/>
      <c r="H32" s="6" t="n"/>
      <c r="I32" s="7" t="n"/>
      <c r="J32" s="6" t="n"/>
      <c r="K32" s="7" t="n"/>
      <c r="L32" s="6" t="n"/>
      <c r="M32" s="7" t="n"/>
      <c r="N32" s="6" t="n"/>
      <c r="O32" s="6" t="n"/>
      <c r="P32" s="6" t="n"/>
      <c r="Q32" s="7" t="n"/>
      <c r="R32" s="6" t="n"/>
      <c r="S32" s="7" t="n"/>
      <c r="T32" s="6" t="n"/>
      <c r="U32" s="7" t="n"/>
      <c r="V32" s="6" t="n"/>
      <c r="W32" s="7" t="n"/>
      <c r="X32" s="6" t="n"/>
      <c r="Y32" s="7" t="n"/>
      <c r="Z32" s="6" t="n"/>
      <c r="AA32" s="7" t="n"/>
      <c r="AB32" s="6" t="n"/>
      <c r="AC32" s="7" t="n"/>
      <c r="AD32" s="6" t="n"/>
      <c r="AE32" s="7" t="n"/>
      <c r="AF32" s="6" t="n"/>
      <c r="AG32" s="7" t="n"/>
    </row>
    <row r="33" ht="21" customHeight="1" thickBot="1">
      <c r="A33" s="46" t="n">
        <v>46264</v>
      </c>
      <c r="B33" s="49">
        <f>D33+F33+H33+J33+L33+N33+P33+R33+T33+V33+X33+Z33+AB33+AD33+AF33</f>
        <v/>
      </c>
      <c r="C33" s="50">
        <f>E33+G33+I33+K33+M33+O33+Q33+S33+U33+W33+Y33+AA33+AC33+AE33+AG33</f>
        <v/>
      </c>
      <c r="D33" s="6" t="n"/>
      <c r="E33" s="7" t="n"/>
      <c r="F33" s="6" t="n"/>
      <c r="G33" s="7" t="n"/>
      <c r="H33" s="6" t="n"/>
      <c r="I33" s="7" t="n"/>
      <c r="J33" s="6" t="n"/>
      <c r="K33" s="7" t="n"/>
      <c r="L33" s="6" t="n"/>
      <c r="M33" s="7" t="n"/>
      <c r="N33" s="6" t="n"/>
      <c r="O33" s="7" t="n"/>
      <c r="P33" s="6" t="n"/>
      <c r="Q33" s="7" t="n"/>
      <c r="R33" s="6" t="n"/>
      <c r="S33" s="7" t="n"/>
      <c r="T33" s="6" t="n"/>
      <c r="U33" s="7" t="n"/>
      <c r="V33" s="6" t="n"/>
      <c r="W33" s="7" t="n"/>
      <c r="X33" s="6" t="n"/>
      <c r="Y33" s="7" t="n"/>
      <c r="Z33" s="6" t="n"/>
      <c r="AA33" s="7" t="n"/>
      <c r="AB33" s="6" t="n"/>
      <c r="AC33" s="7" t="n"/>
      <c r="AD33" s="6" t="n"/>
      <c r="AE33" s="7" t="n"/>
      <c r="AF33" s="6" t="n"/>
      <c r="AG33" s="7" t="n"/>
    </row>
    <row r="34" ht="21" customHeight="1" thickBot="1">
      <c r="A34" s="46" t="n">
        <v>46265</v>
      </c>
      <c r="B34" s="71" t="n"/>
      <c r="C34" s="72" t="n"/>
      <c r="D34" s="73" t="n"/>
      <c r="E34" s="74" t="n"/>
      <c r="F34" s="73" t="n"/>
      <c r="G34" s="74" t="n"/>
      <c r="H34" s="73" t="n"/>
      <c r="I34" s="74" t="n"/>
      <c r="J34" s="73" t="n"/>
      <c r="K34" s="74" t="n"/>
      <c r="L34" s="73" t="n"/>
      <c r="M34" s="74" t="n"/>
      <c r="N34" s="73" t="n"/>
      <c r="O34" s="74" t="n"/>
      <c r="P34" s="73" t="n"/>
      <c r="Q34" s="74" t="n"/>
      <c r="R34" s="73" t="n"/>
      <c r="S34" s="74" t="n"/>
      <c r="T34" s="73" t="n"/>
      <c r="U34" s="74" t="n"/>
      <c r="V34" s="73" t="n"/>
      <c r="W34" s="74" t="n"/>
      <c r="X34" s="73" t="n"/>
      <c r="Y34" s="74" t="n"/>
      <c r="Z34" s="73" t="n"/>
      <c r="AA34" s="74" t="n"/>
      <c r="AB34" s="73" t="n"/>
      <c r="AC34" s="74" t="n"/>
      <c r="AD34" s="73" t="n"/>
      <c r="AE34" s="74" t="n"/>
      <c r="AF34" s="73" t="n"/>
      <c r="AG34" s="74" t="n"/>
    </row>
    <row r="35" ht="23.25" customHeight="1" thickBot="1">
      <c r="A35" s="47" t="inlineStr">
        <is>
          <t>Жами</t>
        </is>
      </c>
      <c r="B35" s="11">
        <f>SUM(B4:B34)</f>
        <v/>
      </c>
      <c r="C35" s="32">
        <f>SUM(C4:C34)</f>
        <v/>
      </c>
      <c r="D35" s="11">
        <f>SUM(D4:D34)</f>
        <v/>
      </c>
      <c r="E35" s="32">
        <f>SUM(E4:E34)</f>
        <v/>
      </c>
      <c r="F35" s="11">
        <f>SUM(F4:F34)</f>
        <v/>
      </c>
      <c r="G35" s="32">
        <f>SUM(G4:G34)</f>
        <v/>
      </c>
      <c r="H35" s="11">
        <f>SUM(H4:H34)</f>
        <v/>
      </c>
      <c r="I35" s="32">
        <f>SUM(I4:I34)</f>
        <v/>
      </c>
      <c r="J35" s="11">
        <f>SUM(J4:J34)</f>
        <v/>
      </c>
      <c r="K35" s="32">
        <f>SUM(K4:K34)</f>
        <v/>
      </c>
      <c r="L35" s="11">
        <f>SUM(L4:L34)</f>
        <v/>
      </c>
      <c r="M35" s="32">
        <f>SUM(M4:M34)</f>
        <v/>
      </c>
      <c r="N35" s="11">
        <f>SUM(N4:N34)</f>
        <v/>
      </c>
      <c r="O35" s="32">
        <f>SUM(O4:O34)</f>
        <v/>
      </c>
      <c r="P35" s="11">
        <f>SUM(P4:P34)</f>
        <v/>
      </c>
      <c r="Q35" s="32">
        <f>SUM(Q4:Q34)</f>
        <v/>
      </c>
      <c r="R35" s="11">
        <f>SUM(R4:R34)</f>
        <v/>
      </c>
      <c r="S35" s="32">
        <f>SUM(S4:S34)</f>
        <v/>
      </c>
      <c r="T35" s="11">
        <f>SUM(T4:T34)</f>
        <v/>
      </c>
      <c r="U35" s="32">
        <f>SUM(U4:U34)</f>
        <v/>
      </c>
      <c r="V35" s="11">
        <f>SUM(V4:V34)</f>
        <v/>
      </c>
      <c r="W35" s="32">
        <f>SUM(W4:W34)</f>
        <v/>
      </c>
      <c r="X35" s="11">
        <f>SUM(X4:X34)</f>
        <v/>
      </c>
      <c r="Y35" s="32">
        <f>SUM(Y4:Y34)</f>
        <v/>
      </c>
      <c r="Z35" s="11">
        <f>SUM(Z4:Z34)</f>
        <v/>
      </c>
      <c r="AA35" s="32">
        <f>SUM(AA4:AA34)</f>
        <v/>
      </c>
      <c r="AB35" s="11">
        <f>SUM(AB4:AB34)</f>
        <v/>
      </c>
      <c r="AC35" s="32">
        <f>SUM(AC4:AC34)</f>
        <v/>
      </c>
      <c r="AD35" s="11">
        <f>SUM(AD4:AD34)</f>
        <v/>
      </c>
      <c r="AE35" s="32">
        <f>SUM(AE4:AE34)</f>
        <v/>
      </c>
      <c r="AF35" s="11">
        <f>SUM(AF4:AF34)</f>
        <v/>
      </c>
      <c r="AG35" s="32">
        <f>SUM(AG4:AG34)</f>
        <v/>
      </c>
    </row>
  </sheetData>
  <mergeCells count="18">
    <mergeCell ref="L2:M2"/>
    <mergeCell ref="A1:A3"/>
    <mergeCell ref="F2:G2"/>
    <mergeCell ref="H2:I2"/>
    <mergeCell ref="V2:W2"/>
    <mergeCell ref="D2:E2"/>
    <mergeCell ref="Z2:AA2"/>
    <mergeCell ref="X2:Y2"/>
    <mergeCell ref="T2:U2"/>
    <mergeCell ref="AB2:AC2"/>
    <mergeCell ref="J2:K2"/>
    <mergeCell ref="B1:C2"/>
    <mergeCell ref="N2:O2"/>
    <mergeCell ref="AD2:AE2"/>
    <mergeCell ref="P2:Q2"/>
    <mergeCell ref="D1:AG1"/>
    <mergeCell ref="AF2:AG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3"/>
  <sheetViews>
    <sheetView tabSelected="1" zoomScaleNormal="100" workbookViewId="0">
      <selection activeCell="A27" sqref="A27:A41"/>
    </sheetView>
  </sheetViews>
  <sheetFormatPr baseColWidth="8" defaultRowHeight="18.75"/>
  <cols>
    <col width="4.28515625" bestFit="1" customWidth="1" style="1" min="1" max="1"/>
    <col width="26.28515625" bestFit="1" customWidth="1" min="2" max="2"/>
    <col width="12.5703125" bestFit="1" customWidth="1" style="19" min="3" max="3"/>
    <col width="23.85546875" bestFit="1" customWidth="1" min="4" max="4"/>
  </cols>
  <sheetData>
    <row r="2" ht="74.25" customHeight="1">
      <c r="A2" s="126" t="inlineStr">
        <is>
          <t>Инфокиоскалардан 1-Август 31-Августкунига қадар сотилган чипталар
 тўғрисида маълумотнома (худудлар кесимида (сумма))</t>
        </is>
      </c>
      <c r="B2" s="127" t="n"/>
      <c r="C2" s="127" t="n"/>
      <c r="D2" s="128" t="n"/>
    </row>
    <row r="3">
      <c r="A3" s="17" t="inlineStr">
        <is>
          <t>№</t>
        </is>
      </c>
      <c r="B3" s="17" t="inlineStr">
        <is>
          <t>Худуд</t>
        </is>
      </c>
      <c r="C3" s="18" t="inlineStr">
        <is>
          <t>Сони</t>
        </is>
      </c>
      <c r="D3" s="18" t="inlineStr">
        <is>
          <t>Сумма</t>
        </is>
      </c>
    </row>
    <row r="4" customFormat="1" s="15">
      <c r="A4" s="20" t="n">
        <v>1</v>
      </c>
      <c r="B4" s="13" t="inlineStr">
        <is>
          <t>Самарқанд</t>
        </is>
      </c>
      <c r="C4" s="14">
        <f>Худудлар!Z35</f>
        <v/>
      </c>
      <c r="D4" s="14">
        <f>Худудлар!AA35</f>
        <v/>
      </c>
    </row>
    <row r="5" customFormat="1" s="15">
      <c r="A5" s="20" t="n">
        <v>2</v>
      </c>
      <c r="B5" s="13" t="inlineStr">
        <is>
          <t>Бухоро</t>
        </is>
      </c>
      <c r="C5" s="14">
        <f>Худудлар!F35</f>
        <v/>
      </c>
      <c r="D5" s="14">
        <f>Худудлар!G35</f>
        <v/>
      </c>
    </row>
    <row r="6" customFormat="1" s="15">
      <c r="A6" s="20" t="n">
        <v>3</v>
      </c>
      <c r="B6" s="13" t="inlineStr">
        <is>
          <t>Тошкент Марказий</t>
        </is>
      </c>
      <c r="C6" s="14">
        <f>Худудлар!AD35</f>
        <v/>
      </c>
      <c r="D6" s="14">
        <f>Худудлар!AE35</f>
        <v/>
      </c>
    </row>
    <row r="7" customFormat="1" s="15">
      <c r="A7" s="20" t="n">
        <v>4</v>
      </c>
      <c r="B7" s="13" t="inlineStr">
        <is>
          <t>Қарши</t>
        </is>
      </c>
      <c r="C7" s="14">
        <f>Худудлар!T35</f>
        <v/>
      </c>
      <c r="D7" s="14">
        <f>Худудлар!U35</f>
        <v/>
      </c>
    </row>
    <row r="8" customFormat="1" s="15">
      <c r="A8" s="20" t="n">
        <v>5</v>
      </c>
      <c r="B8" s="13" t="inlineStr">
        <is>
          <t>Нукус</t>
        </is>
      </c>
      <c r="C8" s="14">
        <f>Худудлар!R35</f>
        <v/>
      </c>
      <c r="D8" s="14">
        <f>Худудлар!S35</f>
        <v/>
      </c>
    </row>
    <row r="9" customFormat="1" s="15">
      <c r="A9" s="20" t="n">
        <v>6</v>
      </c>
      <c r="B9" s="13" t="inlineStr">
        <is>
          <t>Тошкент Жанубий</t>
        </is>
      </c>
      <c r="C9" s="14">
        <f>Худудлар!J35</f>
        <v/>
      </c>
      <c r="D9" s="14">
        <f>Худудлар!K35</f>
        <v/>
      </c>
    </row>
    <row r="10" customFormat="1" s="15">
      <c r="A10" s="20" t="n">
        <v>7</v>
      </c>
      <c r="B10" s="13" t="inlineStr">
        <is>
          <t>Қўнғирод</t>
        </is>
      </c>
      <c r="C10" s="14">
        <f>Худудлар!V35</f>
        <v/>
      </c>
      <c r="D10" s="14">
        <f>Худудлар!W35</f>
        <v/>
      </c>
    </row>
    <row r="11" customFormat="1" s="15">
      <c r="A11" s="20" t="n">
        <v>8</v>
      </c>
      <c r="B11" s="13" t="inlineStr">
        <is>
          <t>Термиз</t>
        </is>
      </c>
      <c r="C11" s="14">
        <f>Худудлар!AB35</f>
        <v/>
      </c>
      <c r="D11" s="14">
        <f>Худудлар!AC35</f>
        <v/>
      </c>
    </row>
    <row r="12" customFormat="1" s="15">
      <c r="A12" s="20" t="n">
        <v>9</v>
      </c>
      <c r="B12" s="13" t="inlineStr">
        <is>
          <t>Андижон</t>
        </is>
      </c>
      <c r="C12" s="14">
        <f>Худудлар!D35</f>
        <v/>
      </c>
      <c r="D12" s="14">
        <f>Худудлар!E35</f>
        <v/>
      </c>
    </row>
    <row r="13" customFormat="1" s="15">
      <c r="A13" s="20" t="n">
        <v>10</v>
      </c>
      <c r="B13" s="13" t="inlineStr">
        <is>
          <t>Қўқон</t>
        </is>
      </c>
      <c r="C13" s="14">
        <f>Худудлар!X35</f>
        <v/>
      </c>
      <c r="D13" s="14">
        <f>Худудлар!Y35</f>
        <v/>
      </c>
    </row>
    <row r="14" customFormat="1" s="15">
      <c r="A14" s="20" t="n">
        <v>11</v>
      </c>
      <c r="B14" s="13" t="inlineStr">
        <is>
          <t>Урганч</t>
        </is>
      </c>
      <c r="C14" s="14">
        <f>Худудлар!AF35</f>
        <v/>
      </c>
      <c r="D14" s="14">
        <f>Худудлар!AG35</f>
        <v/>
      </c>
    </row>
    <row r="15" customFormat="1" s="15">
      <c r="A15" s="20" t="n">
        <v>12</v>
      </c>
      <c r="B15" s="13" t="inlineStr">
        <is>
          <t>Марғилон</t>
        </is>
      </c>
      <c r="C15" s="14">
        <f>Худудлар!L35</f>
        <v/>
      </c>
      <c r="D15" s="14">
        <f>Худудлар!M35</f>
        <v/>
      </c>
    </row>
    <row r="16" customFormat="1" s="15">
      <c r="A16" s="20" t="n">
        <v>13</v>
      </c>
      <c r="B16" s="13" t="inlineStr">
        <is>
          <t>Наманган</t>
        </is>
      </c>
      <c r="C16" s="14">
        <f>Худудлар!P35</f>
        <v/>
      </c>
      <c r="D16" s="14">
        <f>Худудлар!Q35</f>
        <v/>
      </c>
    </row>
    <row r="17" customFormat="1" s="15">
      <c r="A17" s="20" t="n">
        <v>14</v>
      </c>
      <c r="B17" s="16" t="inlineStr">
        <is>
          <t>Хива</t>
        </is>
      </c>
      <c r="C17" s="14">
        <f>Худудлар!H35</f>
        <v/>
      </c>
      <c r="D17" s="14">
        <f>Худудлар!I35</f>
        <v/>
      </c>
    </row>
    <row r="18">
      <c r="A18" s="20" t="n">
        <v>15</v>
      </c>
      <c r="B18" s="31" t="inlineStr">
        <is>
          <t>Навои</t>
        </is>
      </c>
      <c r="C18" s="14">
        <f>Худудлар!N35</f>
        <v/>
      </c>
      <c r="D18" s="14">
        <f>Худудлар!O35</f>
        <v/>
      </c>
    </row>
    <row r="19">
      <c r="A19" s="20" t="n"/>
      <c r="B19" s="31" t="n"/>
      <c r="C19" s="14" t="n"/>
      <c r="D19" s="14" t="n"/>
    </row>
    <row r="20" ht="20.25" customHeight="1">
      <c r="A20" s="30" t="inlineStr">
        <is>
          <t>Жами:</t>
        </is>
      </c>
      <c r="B20" s="30" t="n"/>
      <c r="C20" s="27">
        <f>SUM(C4:C18)</f>
        <v/>
      </c>
      <c r="D20" s="28">
        <f>SUM(D4:D18)</f>
        <v/>
      </c>
    </row>
    <row r="21" ht="20.25" customHeight="1">
      <c r="A21" s="57" t="n"/>
      <c r="B21" s="57" t="n"/>
      <c r="C21" s="58" t="n"/>
      <c r="D21" s="59" t="n"/>
    </row>
    <row r="22" ht="20.25" customHeight="1">
      <c r="A22" s="57" t="n"/>
      <c r="B22" s="57" t="n"/>
      <c r="C22" s="58" t="n"/>
      <c r="D22" s="59" t="n"/>
    </row>
    <row r="23" ht="20.25" customHeight="1">
      <c r="A23" s="57" t="n"/>
      <c r="B23" s="57" t="n"/>
      <c r="C23" s="58" t="n"/>
      <c r="D23" s="59" t="n"/>
    </row>
    <row r="24" ht="15" customFormat="1" customHeight="1" s="15"/>
    <row r="25" ht="73.5" customHeight="1">
      <c r="A25" s="126" t="inlineStr">
        <is>
          <t xml:space="preserve">Инфокиоскалардан  1-Август 31-Август кунига қадар сотилган чипталар
 тўғрисида маълумотнома (худудлар кесимида (сотилган чипталар сони)) </t>
        </is>
      </c>
      <c r="B25" s="127" t="n"/>
      <c r="C25" s="127" t="n"/>
      <c r="D25" s="128" t="n"/>
    </row>
    <row r="26" ht="43.5" customHeight="1">
      <c r="A26" s="17" t="inlineStr">
        <is>
          <t>№</t>
        </is>
      </c>
      <c r="B26" s="17" t="inlineStr">
        <is>
          <t>Худуд</t>
        </is>
      </c>
      <c r="C26" s="18" t="inlineStr">
        <is>
          <t>Сони</t>
        </is>
      </c>
      <c r="D26" s="18" t="inlineStr">
        <is>
          <t>Сумма</t>
        </is>
      </c>
    </row>
    <row r="27">
      <c r="A27" s="20" t="n">
        <v>1</v>
      </c>
      <c r="B27" s="13" t="inlineStr">
        <is>
          <t>Самарқанд</t>
        </is>
      </c>
      <c r="C27" s="14">
        <f>Худудлар!Z35</f>
        <v/>
      </c>
      <c r="D27" s="14">
        <f>Худудлар!AA35</f>
        <v/>
      </c>
    </row>
    <row r="28">
      <c r="A28" s="20" t="n">
        <v>2</v>
      </c>
      <c r="B28" s="13" t="inlineStr">
        <is>
          <t>Бухоро</t>
        </is>
      </c>
      <c r="C28" s="14">
        <f>Худудлар!F35</f>
        <v/>
      </c>
      <c r="D28" s="14">
        <f>Худудлар!G35</f>
        <v/>
      </c>
    </row>
    <row r="29">
      <c r="A29" s="20" t="n">
        <v>3</v>
      </c>
      <c r="B29" s="13" t="inlineStr">
        <is>
          <t>Қарши</t>
        </is>
      </c>
      <c r="C29" s="14">
        <f>Худудлар!T35</f>
        <v/>
      </c>
      <c r="D29" s="14">
        <f>Худудлар!U35</f>
        <v/>
      </c>
    </row>
    <row r="30">
      <c r="A30" s="20" t="n">
        <v>4</v>
      </c>
      <c r="B30" s="13" t="inlineStr">
        <is>
          <t>Тошкент Марказий</t>
        </is>
      </c>
      <c r="C30" s="14">
        <f>Худудлар!AD35</f>
        <v/>
      </c>
      <c r="D30" s="14">
        <f>Худудлар!AE35</f>
        <v/>
      </c>
    </row>
    <row r="31">
      <c r="A31" s="20" t="n">
        <v>5</v>
      </c>
      <c r="B31" s="13" t="inlineStr">
        <is>
          <t>Термиз</t>
        </is>
      </c>
      <c r="C31" s="14">
        <f>Худудлар!AB35</f>
        <v/>
      </c>
      <c r="D31" s="14">
        <f>Худудлар!AC35</f>
        <v/>
      </c>
    </row>
    <row r="32">
      <c r="A32" s="20" t="n">
        <v>6</v>
      </c>
      <c r="B32" s="13" t="inlineStr">
        <is>
          <t>Тошкент Жанубий</t>
        </is>
      </c>
      <c r="C32" s="14">
        <f>Худудлар!J35</f>
        <v/>
      </c>
      <c r="D32" s="14">
        <f>Худудлар!K35</f>
        <v/>
      </c>
    </row>
    <row r="33">
      <c r="A33" s="20" t="n">
        <v>7</v>
      </c>
      <c r="B33" s="13" t="inlineStr">
        <is>
          <t>Андижон</t>
        </is>
      </c>
      <c r="C33" s="14">
        <f>Худудлар!D35</f>
        <v/>
      </c>
      <c r="D33" s="14">
        <f>Худудлар!E35</f>
        <v/>
      </c>
    </row>
    <row r="34">
      <c r="A34" s="20" t="n">
        <v>8</v>
      </c>
      <c r="B34" s="13" t="inlineStr">
        <is>
          <t>Қўқон</t>
        </is>
      </c>
      <c r="C34" s="14">
        <f>Худудлар!X35</f>
        <v/>
      </c>
      <c r="D34" s="14">
        <f>Худудлар!Y35</f>
        <v/>
      </c>
    </row>
    <row r="35">
      <c r="A35" s="20" t="n">
        <v>9</v>
      </c>
      <c r="B35" s="13" t="inlineStr">
        <is>
          <t>Нукус</t>
        </is>
      </c>
      <c r="C35" s="14">
        <f>Худудлар!R35</f>
        <v/>
      </c>
      <c r="D35" s="14">
        <f>Худудлар!S35</f>
        <v/>
      </c>
    </row>
    <row r="36">
      <c r="A36" s="20" t="n">
        <v>10</v>
      </c>
      <c r="B36" s="13" t="inlineStr">
        <is>
          <t>Қўнғирод</t>
        </is>
      </c>
      <c r="C36" s="14">
        <f>Худудлар!V35</f>
        <v/>
      </c>
      <c r="D36" s="14">
        <f>Худудлар!W35</f>
        <v/>
      </c>
    </row>
    <row r="37">
      <c r="A37" s="20" t="n">
        <v>11</v>
      </c>
      <c r="B37" s="13" t="inlineStr">
        <is>
          <t>Марғилон</t>
        </is>
      </c>
      <c r="C37" s="14">
        <f>Худудлар!L35</f>
        <v/>
      </c>
      <c r="D37" s="14">
        <f>Худудлар!M35</f>
        <v/>
      </c>
    </row>
    <row r="38">
      <c r="A38" s="20" t="n">
        <v>12</v>
      </c>
      <c r="B38" s="13" t="inlineStr">
        <is>
          <t>Урганч</t>
        </is>
      </c>
      <c r="C38" s="14">
        <f>Худудлар!AF35</f>
        <v/>
      </c>
      <c r="D38" s="14">
        <f>Худудлар!AG35</f>
        <v/>
      </c>
    </row>
    <row r="39">
      <c r="A39" s="20" t="n">
        <v>13</v>
      </c>
      <c r="B39" s="16" t="inlineStr">
        <is>
          <t>Наманган</t>
        </is>
      </c>
      <c r="C39" s="14">
        <f>Худудлар!P35</f>
        <v/>
      </c>
      <c r="D39" s="14">
        <f>Худудлар!Q35</f>
        <v/>
      </c>
    </row>
    <row r="40">
      <c r="A40" s="20" t="n">
        <v>14</v>
      </c>
      <c r="B40" s="13" t="inlineStr">
        <is>
          <t>Хива</t>
        </is>
      </c>
      <c r="C40" s="14">
        <f>Худудлар!H35</f>
        <v/>
      </c>
      <c r="D40" s="14">
        <f>Худудлар!I35</f>
        <v/>
      </c>
    </row>
    <row r="41">
      <c r="A41" s="20" t="n">
        <v>15</v>
      </c>
      <c r="B41" s="13" t="inlineStr">
        <is>
          <t>Навои</t>
        </is>
      </c>
      <c r="C41" s="14">
        <f>Худудлар!N35</f>
        <v/>
      </c>
      <c r="D41" s="14">
        <f>Худудлар!O35</f>
        <v/>
      </c>
    </row>
    <row r="42">
      <c r="A42" s="20" t="n"/>
      <c r="B42" s="13" t="n"/>
      <c r="C42" s="14" t="n"/>
      <c r="D42" s="14" t="n"/>
    </row>
    <row r="43" ht="20.25" customHeight="1">
      <c r="A43" s="29" t="inlineStr">
        <is>
          <t>Жами:</t>
        </is>
      </c>
      <c r="B43" s="26" t="n"/>
      <c r="C43" s="27">
        <f>SUM(C27:C41)</f>
        <v/>
      </c>
      <c r="D43" s="28">
        <f>SUM(D27:D41)</f>
        <v/>
      </c>
    </row>
  </sheetData>
  <mergeCells count="2">
    <mergeCell ref="A25:D25"/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85" zoomScaleNormal="85" workbookViewId="0">
      <selection activeCell="C7" sqref="C7:C11"/>
    </sheetView>
  </sheetViews>
  <sheetFormatPr baseColWidth="8" defaultRowHeight="15"/>
  <cols>
    <col width="13.140625" customWidth="1" min="1" max="1"/>
    <col width="11.28515625" bestFit="1" customWidth="1" min="2" max="2"/>
    <col width="20.140625" bestFit="1" customWidth="1" min="3" max="3"/>
    <col width="9.85546875" bestFit="1" customWidth="1" min="4" max="4"/>
    <col width="18" bestFit="1" customWidth="1" min="5" max="5"/>
    <col width="9.85546875" bestFit="1" customWidth="1" min="6" max="6"/>
    <col width="18" bestFit="1" customWidth="1" min="7" max="7"/>
    <col width="9.85546875" bestFit="1" customWidth="1" min="8" max="8"/>
    <col width="20.140625" bestFit="1" customWidth="1" min="9" max="9"/>
    <col width="8.7109375" bestFit="1" customWidth="1" min="10" max="10"/>
    <col width="16.42578125" bestFit="1" customWidth="1" min="11" max="11"/>
    <col width="9.85546875" bestFit="1" customWidth="1" min="12" max="12"/>
    <col width="18" bestFit="1" customWidth="1" min="13" max="13"/>
    <col width="9.85546875" bestFit="1" customWidth="1" min="14" max="14"/>
    <col width="18" bestFit="1" customWidth="1" min="15" max="15"/>
    <col width="8.7109375" bestFit="1" customWidth="1" min="16" max="16"/>
    <col width="18" bestFit="1" customWidth="1" min="17" max="17"/>
    <col width="8.7109375" bestFit="1" customWidth="1" min="18" max="18"/>
    <col width="16.42578125" bestFit="1" customWidth="1" min="19" max="19"/>
    <col width="9.85546875" bestFit="1" customWidth="1" min="20" max="20"/>
    <col width="18" bestFit="1" customWidth="1" min="21" max="21"/>
    <col width="9.85546875" bestFit="1" customWidth="1" min="22" max="22"/>
    <col width="18" bestFit="1" customWidth="1" min="23" max="23"/>
    <col width="8.7109375" bestFit="1" customWidth="1" min="24" max="24"/>
    <col width="18" bestFit="1" customWidth="1" min="25" max="25"/>
    <col width="9.85546875" bestFit="1" customWidth="1" min="26" max="26"/>
    <col width="18" bestFit="1" customWidth="1" min="27" max="27"/>
    <col width="8.7109375" bestFit="1" customWidth="1" min="28" max="28"/>
    <col width="18" bestFit="1" customWidth="1" min="29" max="29"/>
    <col width="9.85546875" bestFit="1" customWidth="1" min="30" max="30"/>
    <col width="18" bestFit="1" customWidth="1" min="31" max="31"/>
    <col width="8.7109375" bestFit="1" customWidth="1" min="32" max="32"/>
    <col width="16.42578125" bestFit="1" customWidth="1" min="33" max="33"/>
  </cols>
  <sheetData>
    <row r="1" ht="44.25" customHeight="1">
      <c r="A1" s="108" t="inlineStr">
        <is>
          <t>Чиптаҳоналардаги киоскалардан сотилган
 чипталар тўғрисида маълумотнома (ойлар кесимида)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8" t="n"/>
    </row>
    <row r="2" ht="20.25" customHeight="1">
      <c r="A2" s="109" t="inlineStr">
        <is>
          <t>Худуд</t>
        </is>
      </c>
      <c r="B2" s="126" t="inlineStr">
        <is>
          <t>Жами</t>
        </is>
      </c>
      <c r="C2" s="128" t="n"/>
      <c r="D2" s="110" t="inlineStr">
        <is>
          <t>Тошкент Марказий</t>
        </is>
      </c>
      <c r="E2" s="128" t="n"/>
      <c r="F2" s="110" t="inlineStr">
        <is>
          <t>Тошкент Жанубий</t>
        </is>
      </c>
      <c r="G2" s="128" t="n"/>
      <c r="H2" s="110" t="inlineStr">
        <is>
          <t>Самарканд</t>
        </is>
      </c>
      <c r="I2" s="128" t="n"/>
      <c r="J2" s="110" t="inlineStr">
        <is>
          <t>Навои</t>
        </is>
      </c>
      <c r="K2" s="128" t="n"/>
      <c r="L2" s="110" t="inlineStr">
        <is>
          <t>Бухоро</t>
        </is>
      </c>
      <c r="M2" s="128" t="n"/>
      <c r="N2" s="110" t="inlineStr">
        <is>
          <t>Нукус</t>
        </is>
      </c>
      <c r="O2" s="128" t="n"/>
      <c r="P2" s="110" t="inlineStr">
        <is>
          <t>Ургенч</t>
        </is>
      </c>
      <c r="Q2" s="128" t="n"/>
      <c r="R2" s="110" t="inlineStr">
        <is>
          <t>Хива</t>
        </is>
      </c>
      <c r="S2" s="128" t="n"/>
      <c r="T2" s="110" t="inlineStr">
        <is>
          <t>Карши</t>
        </is>
      </c>
      <c r="U2" s="128" t="n"/>
      <c r="V2" s="107" t="inlineStr">
        <is>
          <t>Термез</t>
        </is>
      </c>
      <c r="W2" s="128" t="n"/>
      <c r="X2" s="107" t="inlineStr">
        <is>
          <t>Кунгрод</t>
        </is>
      </c>
      <c r="Y2" s="128" t="n"/>
      <c r="Z2" s="107" t="inlineStr">
        <is>
          <t>Андижон</t>
        </is>
      </c>
      <c r="AA2" s="128" t="n"/>
      <c r="AB2" s="107" t="inlineStr">
        <is>
          <t>Қўқон</t>
        </is>
      </c>
      <c r="AC2" s="128" t="n"/>
      <c r="AD2" s="107" t="inlineStr">
        <is>
          <t>Марғилон</t>
        </is>
      </c>
      <c r="AE2" s="128" t="n"/>
      <c r="AF2" s="107" t="inlineStr">
        <is>
          <t>Наманган</t>
        </is>
      </c>
      <c r="AG2" s="128" t="n"/>
    </row>
    <row r="3" ht="20.25" customHeight="1">
      <c r="A3" s="129" t="n"/>
      <c r="B3" s="67" t="inlineStr">
        <is>
          <t>Сони</t>
        </is>
      </c>
      <c r="C3" s="67" t="inlineStr">
        <is>
          <t>Сумма</t>
        </is>
      </c>
      <c r="D3" s="107" t="inlineStr">
        <is>
          <t>Сони</t>
        </is>
      </c>
      <c r="E3" s="107" t="inlineStr">
        <is>
          <t>Сумма</t>
        </is>
      </c>
      <c r="F3" s="107" t="inlineStr">
        <is>
          <t>Сони</t>
        </is>
      </c>
      <c r="G3" s="107" t="inlineStr">
        <is>
          <t>Сумма</t>
        </is>
      </c>
      <c r="H3" s="107" t="inlineStr">
        <is>
          <t>Сони</t>
        </is>
      </c>
      <c r="I3" s="107" t="inlineStr">
        <is>
          <t>Сумма</t>
        </is>
      </c>
      <c r="J3" s="107" t="inlineStr">
        <is>
          <t>Сони</t>
        </is>
      </c>
      <c r="K3" s="107" t="inlineStr">
        <is>
          <t>Сумма</t>
        </is>
      </c>
      <c r="L3" s="107" t="inlineStr">
        <is>
          <t>Сони</t>
        </is>
      </c>
      <c r="M3" s="107" t="inlineStr">
        <is>
          <t>Сумма</t>
        </is>
      </c>
      <c r="N3" s="107" t="inlineStr">
        <is>
          <t>Сони</t>
        </is>
      </c>
      <c r="O3" s="107" t="inlineStr">
        <is>
          <t>Сумма</t>
        </is>
      </c>
      <c r="P3" s="107" t="inlineStr">
        <is>
          <t>Сони</t>
        </is>
      </c>
      <c r="Q3" s="107" t="inlineStr">
        <is>
          <t>Сумма</t>
        </is>
      </c>
      <c r="R3" s="107" t="inlineStr">
        <is>
          <t>Сони</t>
        </is>
      </c>
      <c r="S3" s="107" t="inlineStr">
        <is>
          <t>Сумма</t>
        </is>
      </c>
      <c r="T3" s="107" t="inlineStr">
        <is>
          <t>Сони</t>
        </is>
      </c>
      <c r="U3" s="107" t="inlineStr">
        <is>
          <t>Сумма</t>
        </is>
      </c>
      <c r="V3" s="107" t="inlineStr">
        <is>
          <t>Сони</t>
        </is>
      </c>
      <c r="W3" s="107" t="inlineStr">
        <is>
          <t>Сумма</t>
        </is>
      </c>
      <c r="X3" s="107" t="inlineStr">
        <is>
          <t>Сони</t>
        </is>
      </c>
      <c r="Y3" s="107" t="inlineStr">
        <is>
          <t>Сумма</t>
        </is>
      </c>
      <c r="Z3" s="107" t="inlineStr">
        <is>
          <t>Сони</t>
        </is>
      </c>
      <c r="AA3" s="107" t="inlineStr">
        <is>
          <t>Сумма</t>
        </is>
      </c>
      <c r="AB3" s="107" t="inlineStr">
        <is>
          <t>Сони</t>
        </is>
      </c>
      <c r="AC3" s="107" t="inlineStr">
        <is>
          <t>Сумма</t>
        </is>
      </c>
      <c r="AD3" s="107" t="inlineStr">
        <is>
          <t>Сони</t>
        </is>
      </c>
      <c r="AE3" s="107" t="inlineStr">
        <is>
          <t>Сумма</t>
        </is>
      </c>
      <c r="AF3" s="107" t="inlineStr">
        <is>
          <t>Сони</t>
        </is>
      </c>
      <c r="AG3" s="107" t="inlineStr">
        <is>
          <t>Сумма</t>
        </is>
      </c>
    </row>
    <row r="4" ht="18.75" customHeight="1">
      <c r="A4" s="20" t="inlineStr">
        <is>
          <t>Январь</t>
        </is>
      </c>
      <c r="B4" s="68">
        <f>D4+F4+H4+J4+L4+N4+P4+R4+T4+V4+X4+Z4+AB4+AD4+AF4</f>
        <v/>
      </c>
      <c r="C4" s="68">
        <f>E4+G4+I4+K4+M4+O4+Q4+S4+U4+W4+Y4+AA4+AC4+AE4+AG4</f>
        <v/>
      </c>
      <c r="D4" s="53" t="n">
        <v>393</v>
      </c>
      <c r="E4" s="53" t="n">
        <v>128161410</v>
      </c>
      <c r="F4" s="53" t="n">
        <v>159</v>
      </c>
      <c r="G4" s="53" t="n">
        <v>54581230</v>
      </c>
      <c r="H4" s="53" t="n">
        <v>573</v>
      </c>
      <c r="I4" s="53" t="n">
        <v>127638850</v>
      </c>
      <c r="J4" s="53" t="n">
        <v>60</v>
      </c>
      <c r="K4" s="53" t="n">
        <v>11090840</v>
      </c>
      <c r="L4" s="53" t="n">
        <v>68</v>
      </c>
      <c r="M4" s="53" t="n">
        <v>14072500</v>
      </c>
      <c r="N4" s="53" t="n">
        <v>212</v>
      </c>
      <c r="O4" s="53" t="n">
        <v>75296380</v>
      </c>
      <c r="P4" s="53" t="n">
        <v>90</v>
      </c>
      <c r="Q4" s="53" t="n">
        <v>21169260</v>
      </c>
      <c r="R4" s="53" t="n">
        <v>40</v>
      </c>
      <c r="S4" s="53" t="n">
        <v>10032280</v>
      </c>
      <c r="T4" s="53" t="n">
        <v>144</v>
      </c>
      <c r="U4" s="53" t="n">
        <v>29875380</v>
      </c>
      <c r="V4" s="53" t="n">
        <v>142</v>
      </c>
      <c r="W4" s="53" t="n">
        <v>29047220</v>
      </c>
      <c r="X4" s="53" t="n">
        <v>6</v>
      </c>
      <c r="Y4" s="53" t="n">
        <v>2519510</v>
      </c>
      <c r="Z4" s="53" t="n">
        <v>111</v>
      </c>
      <c r="AA4" s="53" t="n">
        <v>23775260</v>
      </c>
      <c r="AB4" s="53" t="n">
        <v>81</v>
      </c>
      <c r="AC4" s="53" t="n">
        <v>18504850</v>
      </c>
      <c r="AD4" s="53" t="n">
        <v>432</v>
      </c>
      <c r="AE4" s="53" t="n">
        <v>145134680</v>
      </c>
      <c r="AF4" s="53" t="n">
        <v>93</v>
      </c>
      <c r="AG4" s="53" t="n">
        <v>20428840</v>
      </c>
    </row>
    <row r="5" ht="18.75" customHeight="1">
      <c r="A5" s="20" t="inlineStr">
        <is>
          <t>Февраль</t>
        </is>
      </c>
      <c r="B5" s="68">
        <f>D5+F5+H5+J5+L5+N5+P5+R5+T5+V5+X5+Z5+AB5+AD5+AF5</f>
        <v/>
      </c>
      <c r="C5" s="68">
        <f>E5+G5+I5+K5+M5+O5+Q5+S5+U5+W5+Y5+AA5+AC5+AE5+AG5</f>
        <v/>
      </c>
      <c r="D5" s="53" t="n">
        <v>280</v>
      </c>
      <c r="E5" s="53" t="n">
        <v>84371130</v>
      </c>
      <c r="F5" s="53" t="n">
        <v>69</v>
      </c>
      <c r="G5" s="53" t="n">
        <v>20794540</v>
      </c>
      <c r="H5" s="53" t="n">
        <v>945</v>
      </c>
      <c r="I5" s="53" t="n">
        <v>224851440</v>
      </c>
      <c r="J5" s="53" t="n">
        <v>15</v>
      </c>
      <c r="K5" s="53" t="n">
        <v>3582380</v>
      </c>
      <c r="L5" s="53" t="n">
        <v>38</v>
      </c>
      <c r="M5" s="53" t="n">
        <v>8572500</v>
      </c>
      <c r="N5" s="53" t="n">
        <v>82</v>
      </c>
      <c r="O5" s="53" t="n">
        <v>28047020</v>
      </c>
      <c r="P5" s="53" t="n">
        <v>95</v>
      </c>
      <c r="Q5" s="53" t="n">
        <v>23630330</v>
      </c>
      <c r="R5" s="53" t="n">
        <v>37</v>
      </c>
      <c r="S5" s="53" t="n">
        <v>8684810</v>
      </c>
      <c r="T5" s="53" t="n">
        <v>50</v>
      </c>
      <c r="U5" s="53" t="n">
        <v>11934960</v>
      </c>
      <c r="V5" s="53" t="n">
        <v>205</v>
      </c>
      <c r="W5" s="53" t="n">
        <v>49185120</v>
      </c>
      <c r="X5" s="53" t="n">
        <v>3</v>
      </c>
      <c r="Y5" s="53" t="n">
        <v>998990</v>
      </c>
      <c r="Z5" s="53" t="n">
        <v>142</v>
      </c>
      <c r="AA5" s="53" t="n">
        <v>29655970</v>
      </c>
      <c r="AB5" s="53" t="n">
        <v>183</v>
      </c>
      <c r="AC5" s="53" t="n">
        <v>47086220</v>
      </c>
      <c r="AD5" s="53" t="n">
        <v>475</v>
      </c>
      <c r="AE5" s="53" t="n">
        <v>156561430</v>
      </c>
      <c r="AF5" s="53" t="n">
        <v>35</v>
      </c>
      <c r="AG5" s="53" t="n">
        <v>8078000</v>
      </c>
    </row>
    <row r="6" ht="18.75" customHeight="1">
      <c r="A6" s="20" t="inlineStr">
        <is>
          <t>Март</t>
        </is>
      </c>
      <c r="B6" s="68">
        <f>D6+F6+H6+J6+L6+N6+P6+R6+T6+V6+X6+Z6+AB6+AD6+AF6</f>
        <v/>
      </c>
      <c r="C6" s="68">
        <f>E6+G6+I6+K6+M6+O6+Q6+S6+U6+W6+Y6+AA6+AC6+AE6+AG6</f>
        <v/>
      </c>
      <c r="D6" s="53">
        <f>[1]Худудлар!D35</f>
        <v/>
      </c>
      <c r="E6" s="53">
        <f>[1]Худудлар!E35</f>
        <v/>
      </c>
      <c r="F6" s="53">
        <f>[1]Худудлар!F35</f>
        <v/>
      </c>
      <c r="G6" s="53">
        <f>[1]Худудлар!G35</f>
        <v/>
      </c>
      <c r="H6" s="53">
        <f>[1]Худудлар!H35</f>
        <v/>
      </c>
      <c r="I6" s="53">
        <f>[1]Худудлар!I35</f>
        <v/>
      </c>
      <c r="J6" s="53">
        <f>[1]Худудлар!J35</f>
        <v/>
      </c>
      <c r="K6" s="53">
        <f>[1]Худудлар!K35</f>
        <v/>
      </c>
      <c r="L6" s="53">
        <f>[1]Худудлар!L35</f>
        <v/>
      </c>
      <c r="M6" s="53">
        <f>[1]Худудлар!M35</f>
        <v/>
      </c>
      <c r="N6" s="53">
        <f>[1]Худудлар!N35</f>
        <v/>
      </c>
      <c r="O6" s="53">
        <f>[1]Худудлар!O35</f>
        <v/>
      </c>
      <c r="P6" s="53">
        <f>[1]Худудлар!P35</f>
        <v/>
      </c>
      <c r="Q6" s="53">
        <f>[1]Худудлар!Q35</f>
        <v/>
      </c>
      <c r="R6" s="53">
        <f>[1]Худудлар!R35</f>
        <v/>
      </c>
      <c r="S6" s="53">
        <f>[1]Худудлар!S35</f>
        <v/>
      </c>
      <c r="T6" s="53">
        <f>[1]Худудлар!T35</f>
        <v/>
      </c>
      <c r="U6" s="53">
        <f>[1]Худудлар!U35</f>
        <v/>
      </c>
      <c r="V6" s="53">
        <f>[1]Худудлар!V35</f>
        <v/>
      </c>
      <c r="W6" s="53">
        <f>[1]Худудлар!W35</f>
        <v/>
      </c>
      <c r="X6" s="53">
        <f>[1]Худудлар!X35</f>
        <v/>
      </c>
      <c r="Y6" s="53">
        <f>[1]Худудлар!Y35</f>
        <v/>
      </c>
      <c r="Z6" s="53">
        <f>[1]Худудлар!Z35</f>
        <v/>
      </c>
      <c r="AA6" s="53">
        <f>[1]Худудлар!AA35</f>
        <v/>
      </c>
      <c r="AB6" s="53">
        <f>[1]Худудлар!AB35</f>
        <v/>
      </c>
      <c r="AC6" s="53">
        <f>[1]Худудлар!AC35</f>
        <v/>
      </c>
      <c r="AD6" s="53">
        <f>[1]Худудлар!AD35</f>
        <v/>
      </c>
      <c r="AE6" s="53">
        <f>[1]Худудлар!AE35</f>
        <v/>
      </c>
      <c r="AF6" s="53">
        <f>[1]Худудлар!AF35</f>
        <v/>
      </c>
      <c r="AG6" s="53">
        <f>[1]Худудлар!AG35</f>
        <v/>
      </c>
    </row>
    <row r="7" ht="18.75" customHeight="1">
      <c r="A7" s="20" t="inlineStr">
        <is>
          <t>Апрель</t>
        </is>
      </c>
      <c r="B7" s="68">
        <f>D7+F7+H7+J7+L7+N7+P7+R7+T7+V7+X7+Z7+AB7+AD7+AF7</f>
        <v/>
      </c>
      <c r="C7" s="68">
        <f>E7+G7+I7+K7+M7+O7+Q7+S7+U7+W7+Y7+AA7+AC7+AE7+AG7</f>
        <v/>
      </c>
      <c r="D7" s="53" t="n">
        <v>216</v>
      </c>
      <c r="E7" s="53" t="n">
        <v>63491570</v>
      </c>
      <c r="F7" s="53" t="n">
        <v>45</v>
      </c>
      <c r="G7" s="53" t="n">
        <v>10159020</v>
      </c>
      <c r="H7" s="53" t="n">
        <v>678</v>
      </c>
      <c r="I7" s="53" t="n">
        <v>154274360</v>
      </c>
      <c r="J7" s="53" t="n">
        <v>8</v>
      </c>
      <c r="K7" s="53" t="n">
        <v>2140410</v>
      </c>
      <c r="L7" s="53" t="n">
        <v>344</v>
      </c>
      <c r="M7" s="53" t="n">
        <v>82793410</v>
      </c>
      <c r="N7" s="53" t="n">
        <v>53</v>
      </c>
      <c r="O7" s="53" t="n">
        <v>14185040</v>
      </c>
      <c r="P7" s="53" t="n">
        <v>42</v>
      </c>
      <c r="Q7" s="53" t="n">
        <v>17075050</v>
      </c>
      <c r="R7" s="53" t="n">
        <v>43</v>
      </c>
      <c r="S7" s="53" t="n">
        <v>8515850</v>
      </c>
      <c r="T7" s="53" t="n">
        <v>160</v>
      </c>
      <c r="U7" s="53" t="n">
        <v>34816240</v>
      </c>
      <c r="V7" s="53" t="n">
        <v>142</v>
      </c>
      <c r="W7" s="53" t="n">
        <v>39152570</v>
      </c>
      <c r="X7" s="53" t="n">
        <v>0</v>
      </c>
      <c r="Y7" s="53" t="n">
        <v>0</v>
      </c>
      <c r="Z7" s="53" t="n">
        <v>105</v>
      </c>
      <c r="AA7" s="53" t="n">
        <v>25415290</v>
      </c>
      <c r="AB7" s="53" t="n">
        <v>100</v>
      </c>
      <c r="AC7" s="53" t="n">
        <v>21612820</v>
      </c>
      <c r="AD7" s="53" t="n">
        <v>186</v>
      </c>
      <c r="AE7" s="53" t="n">
        <v>39046330</v>
      </c>
      <c r="AF7" s="53" t="n">
        <v>34</v>
      </c>
      <c r="AG7" s="53" t="n">
        <v>8027260</v>
      </c>
    </row>
    <row r="8" ht="18.75" customHeight="1">
      <c r="A8" s="20" t="inlineStr">
        <is>
          <t>Май</t>
        </is>
      </c>
      <c r="B8" s="68">
        <f>D8+F8+H8+J8+L8+N8+P8+R8+T8+V8+X8+Z8+AB8+AD8+AF8</f>
        <v/>
      </c>
      <c r="C8" s="68">
        <f>E8+G8+I8+K8+M8+O8+Q8+S8+U8+W8+Y8+AA8+AC8+AE8+AG8</f>
        <v/>
      </c>
      <c r="D8" s="53" t="n">
        <v>371</v>
      </c>
      <c r="E8" s="53" t="n">
        <v>122824550</v>
      </c>
      <c r="F8" s="53" t="n">
        <v>91</v>
      </c>
      <c r="G8" s="53" t="n">
        <v>22632580</v>
      </c>
      <c r="H8" s="53" t="n">
        <v>856</v>
      </c>
      <c r="I8" s="53" t="n">
        <v>223402850</v>
      </c>
      <c r="J8" s="53" t="n">
        <v>20</v>
      </c>
      <c r="K8" s="53" t="n">
        <v>2955370</v>
      </c>
      <c r="L8" s="53" t="n">
        <v>423</v>
      </c>
      <c r="M8" s="53" t="n">
        <v>100384500</v>
      </c>
      <c r="N8" s="53" t="n">
        <v>180</v>
      </c>
      <c r="O8" s="53" t="n">
        <v>69428490</v>
      </c>
      <c r="P8" s="53" t="n">
        <v>53</v>
      </c>
      <c r="Q8" s="53" t="n">
        <v>14303130</v>
      </c>
      <c r="R8" s="53" t="n">
        <v>43</v>
      </c>
      <c r="S8" s="53" t="n">
        <v>8886550</v>
      </c>
      <c r="T8" s="53" t="n">
        <v>142</v>
      </c>
      <c r="U8" s="53" t="n">
        <v>29756940</v>
      </c>
      <c r="V8" s="53" t="n">
        <v>198</v>
      </c>
      <c r="W8" s="53" t="n">
        <v>46230660</v>
      </c>
      <c r="X8" s="53" t="n">
        <v>92</v>
      </c>
      <c r="Y8" s="53" t="n">
        <v>43744620</v>
      </c>
      <c r="Z8" s="53" t="n">
        <v>109</v>
      </c>
      <c r="AA8" s="53" t="n">
        <v>21501010</v>
      </c>
      <c r="AB8" s="53" t="n">
        <v>108</v>
      </c>
      <c r="AC8" s="53" t="n">
        <v>20383150</v>
      </c>
      <c r="AD8" s="53" t="n">
        <v>195</v>
      </c>
      <c r="AE8" s="53" t="n">
        <v>44705360</v>
      </c>
      <c r="AF8" s="53" t="n">
        <v>26</v>
      </c>
      <c r="AG8" s="53" t="n">
        <v>4135240</v>
      </c>
    </row>
    <row r="9" ht="18.75" customHeight="1">
      <c r="A9" s="20" t="inlineStr">
        <is>
          <t>Июнь</t>
        </is>
      </c>
      <c r="B9" s="68">
        <f>D9+F9+H9+J9+L9+N9+P9+R9+T9+V9+X9+Z9+AB9+AD9+AF9</f>
        <v/>
      </c>
      <c r="C9" s="68">
        <f>E9+G9+I9+K9+M9+O9+Q9+S9+U9+W9+Y9+AA9+AC9+AE9+AG9</f>
        <v/>
      </c>
      <c r="D9" s="53" t="n">
        <v>362</v>
      </c>
      <c r="E9" s="53" t="n">
        <v>109026850</v>
      </c>
      <c r="F9" s="53" t="n">
        <v>398</v>
      </c>
      <c r="G9" s="53" t="n">
        <v>106133150</v>
      </c>
      <c r="H9" s="53" t="n">
        <v>1251</v>
      </c>
      <c r="I9" s="53" t="n">
        <v>305409040</v>
      </c>
      <c r="J9" s="53" t="n">
        <v>15</v>
      </c>
      <c r="K9" s="53" t="n">
        <v>4161890</v>
      </c>
      <c r="L9" s="53" t="n">
        <v>846</v>
      </c>
      <c r="M9" s="53" t="n">
        <v>237115560</v>
      </c>
      <c r="N9" s="53" t="n">
        <v>232</v>
      </c>
      <c r="O9" s="53" t="n">
        <v>89055210</v>
      </c>
      <c r="P9" s="53" t="n">
        <v>188</v>
      </c>
      <c r="Q9" s="53" t="n">
        <v>53910560</v>
      </c>
      <c r="R9" s="53" t="n">
        <v>70</v>
      </c>
      <c r="S9" s="53" t="n">
        <v>19113270</v>
      </c>
      <c r="T9" s="53" t="n">
        <v>366</v>
      </c>
      <c r="U9" s="53" t="n">
        <v>84209810</v>
      </c>
      <c r="V9" s="53" t="n">
        <v>333</v>
      </c>
      <c r="W9" s="53" t="n">
        <v>73708360</v>
      </c>
      <c r="X9" s="53" t="n">
        <v>158</v>
      </c>
      <c r="Y9" s="53" t="n">
        <v>59234100</v>
      </c>
      <c r="Z9" s="53" t="n">
        <v>412</v>
      </c>
      <c r="AA9" s="53" t="n">
        <v>89233400</v>
      </c>
      <c r="AB9" s="53" t="n">
        <v>232</v>
      </c>
      <c r="AC9" s="53" t="n">
        <v>47900770</v>
      </c>
      <c r="AD9" s="53" t="n">
        <v>272</v>
      </c>
      <c r="AE9" s="53" t="n">
        <v>58793030</v>
      </c>
      <c r="AF9" s="53" t="n">
        <v>153</v>
      </c>
      <c r="AG9" s="53" t="n">
        <v>29965360</v>
      </c>
    </row>
    <row r="10" ht="18.75" customHeight="1">
      <c r="A10" s="20" t="inlineStr">
        <is>
          <t>Июль</t>
        </is>
      </c>
      <c r="B10" s="68">
        <f>D10+F10+H10+J10+L10+N10+P10+R10+T10+V10+X10+Z10+AB10+AD10+AF10</f>
        <v/>
      </c>
      <c r="C10" s="68">
        <f>E10+G10+I10+K10+M10+O10+Q10+S10+U10+W10+Y10+AA10+AC10+AE10+AG10</f>
        <v/>
      </c>
      <c r="D10" s="53" t="n">
        <v>398</v>
      </c>
      <c r="E10" s="53" t="n">
        <v>133252470</v>
      </c>
      <c r="F10" s="53" t="n">
        <v>457</v>
      </c>
      <c r="G10" s="53" t="n">
        <v>138862370</v>
      </c>
      <c r="H10" s="53" t="n">
        <v>1480</v>
      </c>
      <c r="I10" s="53" t="n">
        <v>370227290</v>
      </c>
      <c r="J10" s="53" t="n">
        <v>27</v>
      </c>
      <c r="K10" s="53" t="n">
        <v>8196890</v>
      </c>
      <c r="L10" s="53" t="n">
        <v>737</v>
      </c>
      <c r="M10" s="53" t="n">
        <v>217465760</v>
      </c>
      <c r="N10" s="53" t="n">
        <v>415</v>
      </c>
      <c r="O10" s="53" t="n">
        <v>162531550</v>
      </c>
      <c r="P10" s="53" t="n">
        <v>66</v>
      </c>
      <c r="Q10" s="53" t="n">
        <v>25555020</v>
      </c>
      <c r="R10" s="53" t="n">
        <v>40</v>
      </c>
      <c r="S10" s="53" t="n">
        <v>13532360</v>
      </c>
      <c r="T10" s="53" t="n">
        <v>373</v>
      </c>
      <c r="U10" s="53" t="n">
        <v>87862680</v>
      </c>
      <c r="V10" s="53" t="n">
        <v>221</v>
      </c>
      <c r="W10" s="53" t="n">
        <v>53706200</v>
      </c>
      <c r="X10" s="53" t="n">
        <v>174</v>
      </c>
      <c r="Y10" s="53" t="n">
        <v>62762680</v>
      </c>
      <c r="Z10" s="53" t="n">
        <v>263</v>
      </c>
      <c r="AA10" s="53" t="n">
        <v>57411800</v>
      </c>
      <c r="AB10" s="53" t="n">
        <v>243</v>
      </c>
      <c r="AC10" s="53" t="n">
        <v>49759550</v>
      </c>
      <c r="AD10" s="53" t="n">
        <v>304</v>
      </c>
      <c r="AE10" s="53" t="n">
        <v>63832180</v>
      </c>
      <c r="AF10" s="53" t="n">
        <v>57</v>
      </c>
      <c r="AG10" s="53" t="n">
        <v>12032600</v>
      </c>
    </row>
    <row r="11" ht="18.75" customHeight="1">
      <c r="A11" s="20" t="inlineStr">
        <is>
          <t>Август</t>
        </is>
      </c>
      <c r="B11" s="68">
        <f>D11+F11+H11+J11+L11+N11+P11+R11+T11+V11+X11+Z11+AB11+AD11+AF11</f>
        <v/>
      </c>
      <c r="C11" s="68">
        <f>E11+G11+I11+K11+M11+O11+Q11+S11+U11+W11+Y11+AA11+AC11+AE11+AG11</f>
        <v/>
      </c>
      <c r="D11" s="53">
        <f>Худудлар!AD35</f>
        <v/>
      </c>
      <c r="E11" s="53">
        <f>Худудлар!AE35</f>
        <v/>
      </c>
      <c r="F11" s="53">
        <f>Худудлар!J35</f>
        <v/>
      </c>
      <c r="G11" s="53">
        <f>Худудлар!K35</f>
        <v/>
      </c>
      <c r="H11" s="53">
        <f>Худудлар!Z35</f>
        <v/>
      </c>
      <c r="I11" s="53">
        <f>Худудлар!AA35</f>
        <v/>
      </c>
      <c r="J11" s="53">
        <f>Худудлар!N35</f>
        <v/>
      </c>
      <c r="K11" s="53">
        <f>Худудлар!O35</f>
        <v/>
      </c>
      <c r="L11" s="53">
        <f>Худудлар!F35</f>
        <v/>
      </c>
      <c r="M11" s="53">
        <f>Худудлар!G35</f>
        <v/>
      </c>
      <c r="N11" s="53">
        <f>Худудлар!R35</f>
        <v/>
      </c>
      <c r="O11" s="53">
        <f>Худудлар!S35</f>
        <v/>
      </c>
      <c r="P11" s="53">
        <f>Худудлар!AF35</f>
        <v/>
      </c>
      <c r="Q11" s="53">
        <f>Худудлар!AG35</f>
        <v/>
      </c>
      <c r="R11" s="53">
        <f>Худудлар!H35</f>
        <v/>
      </c>
      <c r="S11" s="53">
        <f>Худудлар!I35</f>
        <v/>
      </c>
      <c r="T11" s="53">
        <f>Худудлар!T35</f>
        <v/>
      </c>
      <c r="U11" s="53">
        <f>Худудлар!U35</f>
        <v/>
      </c>
      <c r="V11" s="53">
        <f>Худудлар!AB35</f>
        <v/>
      </c>
      <c r="W11" s="53">
        <f>Худудлар!AC35</f>
        <v/>
      </c>
      <c r="X11" s="53">
        <f>Худудлар!V35</f>
        <v/>
      </c>
      <c r="Y11" s="53">
        <f>Худудлар!W35</f>
        <v/>
      </c>
      <c r="Z11" s="53">
        <f>Худудлар!D35</f>
        <v/>
      </c>
      <c r="AA11" s="53">
        <f>Худудлар!E35</f>
        <v/>
      </c>
      <c r="AB11" s="53">
        <f>Худудлар!X35</f>
        <v/>
      </c>
      <c r="AC11" s="53">
        <f>Худудлар!Y35</f>
        <v/>
      </c>
      <c r="AD11" s="53">
        <f>Худудлар!L35</f>
        <v/>
      </c>
      <c r="AE11" s="53">
        <f>Худудлар!M35</f>
        <v/>
      </c>
      <c r="AF11" s="53">
        <f>Худудлар!P35</f>
        <v/>
      </c>
      <c r="AG11" s="53">
        <f>Худудлар!Q35</f>
        <v/>
      </c>
    </row>
    <row r="12" ht="18.75" customHeight="1">
      <c r="A12" s="20" t="inlineStr">
        <is>
          <t>Сентябрь</t>
        </is>
      </c>
      <c r="B12" s="17" t="n"/>
      <c r="C12" s="17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</row>
    <row r="13" ht="18.75" customHeight="1">
      <c r="A13" s="20" t="inlineStr">
        <is>
          <t>Октябрь</t>
        </is>
      </c>
      <c r="B13" s="17" t="n"/>
      <c r="C13" s="17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</row>
    <row r="14" ht="18.75" customHeight="1">
      <c r="A14" s="20" t="inlineStr">
        <is>
          <t>Ноябрь</t>
        </is>
      </c>
      <c r="B14" s="17" t="n"/>
      <c r="C14" s="17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</row>
    <row r="15" ht="18.75" customHeight="1">
      <c r="A15" s="20" t="inlineStr">
        <is>
          <t>Декабрь</t>
        </is>
      </c>
      <c r="B15" s="17" t="n"/>
      <c r="C15" s="17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</row>
    <row r="16" ht="18.75" customHeight="1">
      <c r="A16" s="54" t="inlineStr">
        <is>
          <t>Жами</t>
        </is>
      </c>
      <c r="B16" s="70">
        <f>SUM(B4:B15)</f>
        <v/>
      </c>
      <c r="C16" s="70">
        <f>SUM(C4:C15)</f>
        <v/>
      </c>
      <c r="D16" s="55">
        <f>SUM(D4:D15)</f>
        <v/>
      </c>
      <c r="E16" s="55">
        <f>SUM(E4:E15)</f>
        <v/>
      </c>
      <c r="F16" s="55">
        <f>SUM(F4:F15)</f>
        <v/>
      </c>
      <c r="G16" s="55">
        <f>SUM(G4:G15)</f>
        <v/>
      </c>
      <c r="H16" s="55">
        <f>SUM(H4:H15)</f>
        <v/>
      </c>
      <c r="I16" s="55">
        <f>SUM(I4:I15)</f>
        <v/>
      </c>
      <c r="J16" s="55">
        <f>SUM(J4:J15)</f>
        <v/>
      </c>
      <c r="K16" s="55">
        <f>SUM(K4:K15)</f>
        <v/>
      </c>
      <c r="L16" s="55">
        <f>SUM(L4:L15)</f>
        <v/>
      </c>
      <c r="M16" s="55">
        <f>SUM(M4:M15)</f>
        <v/>
      </c>
      <c r="N16" s="55">
        <f>SUM(N4:N15)</f>
        <v/>
      </c>
      <c r="O16" s="55">
        <f>SUM(O4:O15)</f>
        <v/>
      </c>
      <c r="P16" s="55">
        <f>SUM(P4:P15)</f>
        <v/>
      </c>
      <c r="Q16" s="55">
        <f>SUM(Q4:Q15)</f>
        <v/>
      </c>
      <c r="R16" s="55">
        <f>SUM(R4:R15)</f>
        <v/>
      </c>
      <c r="S16" s="55">
        <f>SUM(S4:S15)</f>
        <v/>
      </c>
      <c r="T16" s="55">
        <f>SUM(T4:T15)</f>
        <v/>
      </c>
      <c r="U16" s="55">
        <f>SUM(U4:U15)</f>
        <v/>
      </c>
      <c r="V16" s="55">
        <f>SUM(V4:V15)</f>
        <v/>
      </c>
      <c r="W16" s="55">
        <f>SUM(W4:W15)</f>
        <v/>
      </c>
      <c r="X16" s="55">
        <f>SUM(X4:X15)</f>
        <v/>
      </c>
      <c r="Y16" s="55">
        <f>SUM(Y4:Y15)</f>
        <v/>
      </c>
      <c r="Z16" s="55">
        <f>SUM(Z4:Z15)</f>
        <v/>
      </c>
      <c r="AA16" s="55">
        <f>SUM(AA4:AA15)</f>
        <v/>
      </c>
      <c r="AB16" s="55">
        <f>SUM(AB4:AB15)</f>
        <v/>
      </c>
      <c r="AC16" s="55">
        <f>SUM(AC4:AC15)</f>
        <v/>
      </c>
      <c r="AD16" s="55">
        <f>SUM(AD4:AD15)</f>
        <v/>
      </c>
      <c r="AE16" s="55">
        <f>SUM(AE4:AE15)</f>
        <v/>
      </c>
      <c r="AF16" s="55">
        <f>SUM(AF4:AF15)</f>
        <v/>
      </c>
      <c r="AG16" s="55">
        <f>SUM(AG4:AG15)</f>
        <v/>
      </c>
    </row>
  </sheetData>
  <mergeCells count="18">
    <mergeCell ref="L2:M2"/>
    <mergeCell ref="A1:AG1"/>
    <mergeCell ref="F2:G2"/>
    <mergeCell ref="B2:C2"/>
    <mergeCell ref="H2:I2"/>
    <mergeCell ref="V2:W2"/>
    <mergeCell ref="D2:E2"/>
    <mergeCell ref="T2:U2"/>
    <mergeCell ref="X2:Y2"/>
    <mergeCell ref="Z2:AA2"/>
    <mergeCell ref="J2:K2"/>
    <mergeCell ref="AB2:AC2"/>
    <mergeCell ref="N2:O2"/>
    <mergeCell ref="AD2:AE2"/>
    <mergeCell ref="R2:S2"/>
    <mergeCell ref="P2:Q2"/>
    <mergeCell ref="AF2:A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2026-08-13T18:11:08Z</dcterms:modified>
</cp:coreProperties>
</file>