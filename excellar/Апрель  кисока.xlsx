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E5E19014-4A6F-4BEF-8301-A5AD4382CF9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Жами" sheetId="1" r:id="rId1"/>
    <sheet name="Худудлар" sheetId="2" r:id="rId2"/>
    <sheet name="Лист1" sheetId="3" r:id="rId3"/>
    <sheet name="Ойлар кесимида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2" l="1"/>
  <c r="L34" i="2"/>
  <c r="J34" i="2"/>
  <c r="H34" i="2"/>
  <c r="F34" i="2"/>
  <c r="E34" i="2"/>
  <c r="G34" i="2"/>
  <c r="I34" i="2"/>
  <c r="K34" i="2"/>
  <c r="M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D34" i="2"/>
  <c r="T7" i="4" l="1"/>
  <c r="X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32" i="2"/>
  <c r="C32" i="1" s="1"/>
  <c r="E32" i="1" s="1"/>
  <c r="C33" i="2"/>
  <c r="C33" i="1" s="1"/>
  <c r="E33" i="1" s="1"/>
  <c r="B32" i="2"/>
  <c r="B32" i="1" s="1"/>
  <c r="D32" i="1" s="1"/>
  <c r="B33" i="2"/>
  <c r="B33" i="1" s="1"/>
  <c r="D33" i="1" s="1"/>
  <c r="C22" i="2"/>
  <c r="C14" i="2"/>
  <c r="C13" i="2"/>
  <c r="C12" i="2"/>
  <c r="C10" i="2"/>
  <c r="C7" i="2"/>
  <c r="C6" i="2"/>
  <c r="C5" i="2"/>
  <c r="C4" i="2"/>
  <c r="C31" i="2"/>
  <c r="C30" i="2"/>
  <c r="C29" i="2"/>
  <c r="C28" i="2"/>
  <c r="C27" i="2"/>
  <c r="C8" i="2"/>
  <c r="B5" i="2"/>
  <c r="B4" i="2"/>
  <c r="B6" i="2"/>
  <c r="B7" i="2"/>
  <c r="B8" i="2"/>
  <c r="B9" i="2"/>
  <c r="C9" i="2"/>
  <c r="B10" i="2"/>
  <c r="B11" i="2"/>
  <c r="C11" i="2"/>
  <c r="B12" i="2"/>
  <c r="B13" i="2"/>
  <c r="B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B23" i="2"/>
  <c r="C23" i="2"/>
  <c r="B24" i="2"/>
  <c r="C24" i="2"/>
  <c r="B25" i="2"/>
  <c r="C25" i="2"/>
  <c r="B26" i="2"/>
  <c r="C26" i="2"/>
  <c r="B27" i="2"/>
  <c r="B28" i="2"/>
  <c r="B29" i="2"/>
  <c r="B30" i="2"/>
  <c r="B31" i="2"/>
  <c r="N7" i="4"/>
  <c r="R7" i="4"/>
  <c r="H7" i="4"/>
  <c r="J7" i="4"/>
  <c r="L7" i="4"/>
  <c r="P7" i="4"/>
  <c r="V7" i="4"/>
  <c r="Z7" i="4"/>
  <c r="AD7" i="4"/>
  <c r="D7" i="4"/>
  <c r="F7" i="4"/>
  <c r="B7" i="4"/>
  <c r="F34" i="1"/>
  <c r="AB7" i="4" l="1"/>
  <c r="AB16" i="4" s="1"/>
  <c r="T16" i="4"/>
  <c r="H16" i="4"/>
  <c r="R16" i="4"/>
  <c r="F16" i="4"/>
  <c r="Z16" i="4"/>
  <c r="X16" i="4"/>
  <c r="V16" i="4"/>
  <c r="P16" i="4"/>
  <c r="L16" i="4"/>
  <c r="J16" i="4"/>
  <c r="N16" i="4"/>
  <c r="B16" i="4"/>
  <c r="D16" i="4"/>
  <c r="AD16" i="4"/>
  <c r="C34" i="2"/>
  <c r="C20" i="1"/>
  <c r="E20" i="1" s="1"/>
  <c r="B20" i="1"/>
  <c r="D20" i="1" s="1"/>
  <c r="C19" i="1"/>
  <c r="E19" i="1" s="1"/>
  <c r="B19" i="1"/>
  <c r="D19" i="1" s="1"/>
  <c r="I7" i="4" l="1"/>
  <c r="I16" i="4" s="1"/>
  <c r="M7" i="4"/>
  <c r="M16" i="4" s="1"/>
  <c r="AA7" i="4"/>
  <c r="AA16" i="4" s="1"/>
  <c r="Q7" i="4"/>
  <c r="Q16" i="4" s="1"/>
  <c r="W7" i="4"/>
  <c r="W16" i="4" s="1"/>
  <c r="AC7" i="4"/>
  <c r="AC16" i="4" s="1"/>
  <c r="K7" i="4"/>
  <c r="K16" i="4" s="1"/>
  <c r="C7" i="4"/>
  <c r="C16" i="4" s="1"/>
  <c r="AE7" i="4"/>
  <c r="AE16" i="4" s="1"/>
  <c r="O7" i="4"/>
  <c r="O16" i="4" s="1"/>
  <c r="E7" i="4"/>
  <c r="E16" i="4" s="1"/>
  <c r="Y7" i="4"/>
  <c r="Y16" i="4" s="1"/>
  <c r="G7" i="4"/>
  <c r="G16" i="4" s="1"/>
  <c r="U7" i="4"/>
  <c r="U16" i="4" s="1"/>
  <c r="S7" i="4"/>
  <c r="S16" i="4" s="1"/>
  <c r="B34" i="2"/>
  <c r="C18" i="1"/>
  <c r="E18" i="1" s="1"/>
  <c r="B18" i="1"/>
  <c r="D18" i="1" s="1"/>
  <c r="C17" i="1" l="1"/>
  <c r="E17" i="1" s="1"/>
  <c r="B17" i="1"/>
  <c r="D17" i="1" s="1"/>
  <c r="C16" i="1"/>
  <c r="E16" i="1" s="1"/>
  <c r="B16" i="1"/>
  <c r="D16" i="1" s="1"/>
  <c r="C15" i="1"/>
  <c r="E15" i="1" s="1"/>
  <c r="B15" i="1"/>
  <c r="D15" i="1" s="1"/>
  <c r="C14" i="1"/>
  <c r="E14" i="1" s="1"/>
  <c r="B14" i="1"/>
  <c r="D14" i="1" s="1"/>
  <c r="C13" i="1" l="1"/>
  <c r="E13" i="1" s="1"/>
  <c r="B13" i="1"/>
  <c r="D13" i="1" s="1"/>
  <c r="C12" i="1"/>
  <c r="E12" i="1" s="1"/>
  <c r="B12" i="1"/>
  <c r="D12" i="1" s="1"/>
  <c r="C11" i="1" l="1"/>
  <c r="E11" i="1" s="1"/>
  <c r="B11" i="1"/>
  <c r="D11" i="1" s="1"/>
  <c r="C10" i="1" l="1"/>
  <c r="E10" i="1" s="1"/>
  <c r="B10" i="1"/>
  <c r="D10" i="1" s="1"/>
  <c r="C9" i="1"/>
  <c r="E9" i="1" s="1"/>
  <c r="B9" i="1"/>
  <c r="D9" i="1" s="1"/>
  <c r="C8" i="1"/>
  <c r="E8" i="1" s="1"/>
  <c r="B8" i="1"/>
  <c r="D8" i="1" s="1"/>
  <c r="C7" i="1" l="1"/>
  <c r="E7" i="1" s="1"/>
  <c r="B7" i="1"/>
  <c r="D7" i="1" s="1"/>
  <c r="C6" i="1" l="1"/>
  <c r="E6" i="1" s="1"/>
  <c r="B6" i="1"/>
  <c r="D6" i="1" s="1"/>
  <c r="C5" i="1"/>
  <c r="E5" i="1" s="1"/>
  <c r="B5" i="1"/>
  <c r="D5" i="1" s="1"/>
  <c r="B31" i="1" l="1"/>
  <c r="D31" i="1" s="1"/>
  <c r="B28" i="1"/>
  <c r="D28" i="1" s="1"/>
  <c r="C27" i="1"/>
  <c r="E27" i="1" s="1"/>
  <c r="B27" i="1"/>
  <c r="D27" i="1" s="1"/>
  <c r="C26" i="1"/>
  <c r="E26" i="1" s="1"/>
  <c r="B26" i="1"/>
  <c r="D26" i="1" s="1"/>
  <c r="C25" i="1"/>
  <c r="E25" i="1" s="1"/>
  <c r="B25" i="1"/>
  <c r="D25" i="1" s="1"/>
  <c r="B21" i="1"/>
  <c r="D21" i="1" s="1"/>
  <c r="B22" i="1"/>
  <c r="D22" i="1" s="1"/>
  <c r="B23" i="1"/>
  <c r="D23" i="1" s="1"/>
  <c r="B24" i="1"/>
  <c r="D24" i="1" s="1"/>
  <c r="B29" i="1"/>
  <c r="D29" i="1" s="1"/>
  <c r="B30" i="1"/>
  <c r="D30" i="1" s="1"/>
  <c r="G34" i="1" l="1"/>
  <c r="D10" i="3"/>
  <c r="C32" i="3"/>
  <c r="D7" i="3"/>
  <c r="C26" i="3"/>
  <c r="D12" i="3"/>
  <c r="C31" i="3"/>
  <c r="D17" i="3"/>
  <c r="C37" i="3"/>
  <c r="D11" i="3"/>
  <c r="C30" i="3"/>
  <c r="D8" i="3"/>
  <c r="C28" i="3"/>
  <c r="D9" i="3"/>
  <c r="C29" i="3"/>
  <c r="C33" i="3"/>
  <c r="D16" i="3"/>
  <c r="C36" i="3"/>
  <c r="D5" i="3"/>
  <c r="C25" i="3"/>
  <c r="D15" i="3"/>
  <c r="C35" i="3"/>
  <c r="D14" i="3"/>
  <c r="C24" i="1"/>
  <c r="E24" i="1" s="1"/>
  <c r="C23" i="1"/>
  <c r="E23" i="1" s="1"/>
  <c r="C22" i="1"/>
  <c r="E22" i="1" s="1"/>
  <c r="C21" i="1"/>
  <c r="E21" i="1" s="1"/>
  <c r="C28" i="1"/>
  <c r="E28" i="1" s="1"/>
  <c r="C29" i="1"/>
  <c r="E29" i="1" s="1"/>
  <c r="C30" i="1"/>
  <c r="E30" i="1" s="1"/>
  <c r="C31" i="1"/>
  <c r="E31" i="1" s="1"/>
  <c r="B4" i="1" l="1"/>
  <c r="C4" i="1"/>
  <c r="C14" i="3"/>
  <c r="C34" i="3"/>
  <c r="E4" i="1" l="1"/>
  <c r="E34" i="1" s="1"/>
  <c r="D4" i="1"/>
  <c r="D34" i="1" s="1"/>
  <c r="B34" i="1"/>
  <c r="D34" i="3"/>
  <c r="D25" i="3" l="1"/>
  <c r="C5" i="3"/>
  <c r="D32" i="3" l="1"/>
  <c r="C10" i="3"/>
  <c r="D26" i="3"/>
  <c r="C7" i="3"/>
  <c r="D31" i="3" l="1"/>
  <c r="C12" i="3"/>
  <c r="D6" i="3"/>
  <c r="D27" i="3"/>
  <c r="C6" i="3"/>
  <c r="C27" i="3"/>
  <c r="C34" i="1"/>
  <c r="D13" i="3" l="1"/>
  <c r="D33" i="3"/>
  <c r="C13" i="3"/>
  <c r="D4" i="3"/>
  <c r="D24" i="3"/>
  <c r="C4" i="3"/>
  <c r="C24" i="3"/>
  <c r="D30" i="3"/>
  <c r="C11" i="3"/>
  <c r="D3" i="3"/>
  <c r="D23" i="3"/>
  <c r="C3" i="3"/>
  <c r="C23" i="3"/>
  <c r="D28" i="3"/>
  <c r="C8" i="3"/>
  <c r="D36" i="3"/>
  <c r="C16" i="3"/>
  <c r="D35" i="3"/>
  <c r="C15" i="3"/>
  <c r="D29" i="3"/>
  <c r="C9" i="3"/>
  <c r="D37" i="3"/>
  <c r="C17" i="3"/>
  <c r="D19" i="3" l="1"/>
  <c r="C39" i="3"/>
  <c r="C19" i="3"/>
  <c r="D39" i="3"/>
</calcChain>
</file>

<file path=xl/sharedStrings.xml><?xml version="1.0" encoding="utf-8"?>
<sst xmlns="http://schemas.openxmlformats.org/spreadsheetml/2006/main" count="165" uniqueCount="46">
  <si>
    <t>Кун</t>
  </si>
  <si>
    <t>Жами</t>
  </si>
  <si>
    <t>Онлайн тўлов</t>
  </si>
  <si>
    <t>Сони</t>
  </si>
  <si>
    <t>Сумма</t>
  </si>
  <si>
    <t xml:space="preserve"> Сумма</t>
  </si>
  <si>
    <t>Самарканд</t>
  </si>
  <si>
    <t>Навои</t>
  </si>
  <si>
    <t>Бухоро</t>
  </si>
  <si>
    <t>Нукус</t>
  </si>
  <si>
    <t>Ургенч</t>
  </si>
  <si>
    <t>Хива</t>
  </si>
  <si>
    <t>Карши</t>
  </si>
  <si>
    <t>Термез</t>
  </si>
  <si>
    <t>Кунгрод</t>
  </si>
  <si>
    <t>Андижон</t>
  </si>
  <si>
    <t>Қўқон</t>
  </si>
  <si>
    <t>Марғилон</t>
  </si>
  <si>
    <t>Наманган</t>
  </si>
  <si>
    <t>Терминал тўлов</t>
  </si>
  <si>
    <t>Тошкент Марказий</t>
  </si>
  <si>
    <t>Тошкент Жанубий</t>
  </si>
  <si>
    <t>Худуд</t>
  </si>
  <si>
    <t>Тошкент Шимолий</t>
  </si>
  <si>
    <t>Самарқанд</t>
  </si>
  <si>
    <t>Урганч</t>
  </si>
  <si>
    <t>Қўнғрод</t>
  </si>
  <si>
    <t>Термиз</t>
  </si>
  <si>
    <t>№</t>
  </si>
  <si>
    <t>Жами:</t>
  </si>
  <si>
    <t>Чиптаҳоналардаги киоскалардан сотилган
 чипталар тўғрисида маълумотнома (ойлар кесимида)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</si>
  <si>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</si>
  <si>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</si>
  <si>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</si>
  <si>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</si>
  <si>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</si>
  <si>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</si>
  <si>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</si>
  <si>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</si>
  <si>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</si>
  <si>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</si>
  <si>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</si>
  <si>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</si>
  <si>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Чиптаҳоналардаги киоскалардан сотилган
 чипталар тўғрисида маълумотнома 01.04.2026-30.04.2026. йил.</t>
  </si>
  <si>
    <t xml:space="preserve">Инфокиоскалардан  1-Апрель  30-Апрель кунига қадар сотилган чипталар
 тўғрисида маълумотнома (худудлар кесимида (сотилган чипталар сони)) </t>
  </si>
  <si>
    <t>Инфокиоскалардан 1-Апрель  30-Апрель кунига қадар сотилган чипталар
 тўғрисида маълумотнома (худудлар кесимида (сумма))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</si>
</sst>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₽_-;\-* #,##0\ _₽_-;_-* &quot;-&quot;\ _₽_-;_-@_-"/>
    <numFmt numFmtId="165" formatCode="#,##0\ _₽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3" fillId="0" borderId="0"/>
  </cellStyleXfs>
  <cellXfs count="100">
    <xf numFmtId="0" fontId="0" fillId="0" borderId="0" xfId="0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8" fillId="5" borderId="1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6" borderId="28" xfId="0" applyFont="1" applyFill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/>
    </xf>
    <xf numFmtId="0" fontId="1" fillId="5" borderId="28" xfId="0" applyFont="1" applyFill="1" applyBorder="1" applyAlignment="1">
      <alignment vertical="center"/>
    </xf>
    <xf numFmtId="0" fontId="1" fillId="5" borderId="28" xfId="0" applyFont="1" applyFill="1" applyBorder="1" applyAlignment="1"/>
    <xf numFmtId="0" fontId="3" fillId="6" borderId="32" xfId="0" applyFont="1" applyFill="1" applyBorder="1" applyAlignment="1">
      <alignment horizontal="center" vertical="center"/>
    </xf>
    <xf numFmtId="164" fontId="8" fillId="5" borderId="14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14" fontId="3" fillId="5" borderId="36" xfId="0" applyNumberFormat="1" applyFont="1" applyFill="1" applyBorder="1" applyAlignment="1">
      <alignment horizontal="center" vertical="center"/>
    </xf>
    <xf numFmtId="164" fontId="3" fillId="5" borderId="33" xfId="0" applyNumberFormat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33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4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164" fontId="1" fillId="4" borderId="25" xfId="0" applyNumberFormat="1" applyFont="1" applyFill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165" fontId="6" fillId="0" borderId="28" xfId="0" applyNumberFormat="1" applyFont="1" applyBorder="1" applyAlignment="1">
      <alignment horizontal="center"/>
    </xf>
    <xf numFmtId="0" fontId="3" fillId="5" borderId="28" xfId="0" applyFont="1" applyFill="1" applyBorder="1" applyAlignment="1">
      <alignment horizontal="center" vertical="center"/>
    </xf>
    <xf numFmtId="165" fontId="3" fillId="5" borderId="28" xfId="0" applyNumberFormat="1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4" fontId="7" fillId="4" borderId="13" xfId="0" applyNumberFormat="1" applyFont="1" applyFill="1" applyBorder="1" applyAlignment="1">
      <alignment horizontal="center" vertical="center" wrapText="1"/>
    </xf>
    <xf numFmtId="164" fontId="7" fillId="4" borderId="15" xfId="0" applyNumberFormat="1" applyFont="1" applyFill="1" applyBorder="1" applyAlignment="1">
      <alignment horizontal="center" vertical="center"/>
    </xf>
    <xf numFmtId="164" fontId="7" fillId="4" borderId="14" xfId="0" applyNumberFormat="1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1000000}"/>
    <cellStyle name="Обычный 3" xfId="3" xr:uid="{F787AE7E-DE4A-46A6-8B15-AB726B2D80F2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/><Relationship Id="rId1" Type="http://schemas.openxmlformats.org/officeDocument/2006/relationships/externalLinkPath" Target="&#1052;&#1072;&#1088;&#1090;%20%20&#1082;&#1080;&#1089;&#1086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Жами"/>
      <sheetName val="Худудлар"/>
      <sheetName val="Лист1"/>
      <sheetName val="Ойлар кесимида"/>
    </sheetNames>
    <sheetDataSet>
      <sheetData sheetId="0" refreshError="1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="85" zoomScaleNormal="85" workbookViewId="0">
      <selection activeCell="A34" sqref="A34:XFD34"/>
    </sheetView>
  </sheetViews>
  <sheetFormatPr defaultRowHeight="15" x14ac:dyDescent="0.25"/>
  <cols>
    <col min="1" max="1" width="11.85546875" customWidth="1"/>
    <col min="2" max="2" width="11.5703125" bestFit="1" customWidth="1"/>
    <col min="3" max="3" width="22" bestFit="1" customWidth="1"/>
    <col min="4" max="4" width="9.85546875" bestFit="1" customWidth="1"/>
    <col min="5" max="5" width="18" bestFit="1" customWidth="1"/>
    <col min="6" max="6" width="9.85546875" bestFit="1" customWidth="1"/>
    <col min="7" max="7" width="20.140625" style="48" bestFit="1" customWidth="1"/>
    <col min="8" max="8" width="14.28515625" bestFit="1" customWidth="1"/>
  </cols>
  <sheetData>
    <row r="1" spans="1:8" ht="60" customHeight="1" thickBot="1" x14ac:dyDescent="0.3">
      <c r="A1" s="68" t="s">
        <v>43</v>
      </c>
      <c r="B1" s="69"/>
      <c r="C1" s="69"/>
      <c r="D1" s="69"/>
      <c r="E1" s="69"/>
      <c r="F1" s="69"/>
      <c r="G1" s="70"/>
    </row>
    <row r="2" spans="1:8" ht="18.75" x14ac:dyDescent="0.25">
      <c r="A2" s="71" t="s">
        <v>0</v>
      </c>
      <c r="B2" s="73" t="s">
        <v>1</v>
      </c>
      <c r="C2" s="74"/>
      <c r="D2" s="73" t="s">
        <v>2</v>
      </c>
      <c r="E2" s="75"/>
      <c r="F2" s="76" t="s">
        <v>19</v>
      </c>
      <c r="G2" s="77"/>
    </row>
    <row r="3" spans="1:8" ht="30.75" customHeight="1" thickBot="1" x14ac:dyDescent="0.3">
      <c r="A3" s="72"/>
      <c r="B3" s="25" t="s">
        <v>3</v>
      </c>
      <c r="C3" s="26" t="s">
        <v>4</v>
      </c>
      <c r="D3" s="25" t="s">
        <v>3</v>
      </c>
      <c r="E3" s="27" t="s">
        <v>4</v>
      </c>
      <c r="F3" s="25" t="s">
        <v>3</v>
      </c>
      <c r="G3" s="28" t="s">
        <v>5</v>
      </c>
    </row>
    <row r="4" spans="1:8" ht="15.75" x14ac:dyDescent="0.25">
      <c r="A4" s="37">
        <v>46082</v>
      </c>
      <c r="B4" s="44">
        <f>Худудлар!B4</f>
        <v>72</v>
      </c>
      <c r="C4" s="45">
        <f>Худудлар!C4</f>
        <v>14909370</v>
      </c>
      <c r="D4" s="46">
        <f>B4-F4</f>
        <v>72</v>
      </c>
      <c r="E4" s="47">
        <f>C4-G4</f>
        <v>14909370</v>
      </c>
      <c r="F4" s="46"/>
      <c r="G4" s="47"/>
    </row>
    <row r="5" spans="1:8" ht="16.5" thickBot="1" x14ac:dyDescent="0.3">
      <c r="A5" s="3">
        <v>46083</v>
      </c>
      <c r="B5" s="36">
        <f>Худудлар!B5</f>
        <v>51</v>
      </c>
      <c r="C5" s="12">
        <f>Худудлар!C5</f>
        <v>12601460</v>
      </c>
      <c r="D5" s="5">
        <f t="shared" ref="D5:D31" si="0">B5-F5</f>
        <v>51</v>
      </c>
      <c r="E5" s="8">
        <f t="shared" ref="E5:E31" si="1">C5-G5</f>
        <v>12601460</v>
      </c>
      <c r="F5" s="4"/>
      <c r="G5" s="9"/>
      <c r="H5" s="14"/>
    </row>
    <row r="6" spans="1:8" ht="15.75" x14ac:dyDescent="0.25">
      <c r="A6" s="37">
        <v>46084</v>
      </c>
      <c r="B6" s="36">
        <f>Худудлар!B6</f>
        <v>64</v>
      </c>
      <c r="C6" s="12">
        <f>Худудлар!C6</f>
        <v>13796560</v>
      </c>
      <c r="D6" s="5">
        <f t="shared" si="0"/>
        <v>64</v>
      </c>
      <c r="E6" s="8">
        <f t="shared" si="1"/>
        <v>13796560</v>
      </c>
      <c r="F6" s="4"/>
      <c r="G6" s="9"/>
      <c r="H6" s="14"/>
    </row>
    <row r="7" spans="1:8" ht="16.5" thickBot="1" x14ac:dyDescent="0.3">
      <c r="A7" s="3">
        <v>46085</v>
      </c>
      <c r="B7" s="36">
        <f>Худудлар!B7</f>
        <v>59</v>
      </c>
      <c r="C7" s="12">
        <f>Худудлар!C7</f>
        <v>14951250</v>
      </c>
      <c r="D7" s="5">
        <f t="shared" si="0"/>
        <v>59</v>
      </c>
      <c r="E7" s="8">
        <f t="shared" si="1"/>
        <v>14951250</v>
      </c>
      <c r="F7" s="4"/>
      <c r="G7" s="24"/>
      <c r="H7" s="14"/>
    </row>
    <row r="8" spans="1:8" ht="15.75" x14ac:dyDescent="0.25">
      <c r="A8" s="37">
        <v>46086</v>
      </c>
      <c r="B8" s="36">
        <f>Худудлар!B8</f>
        <v>61</v>
      </c>
      <c r="C8" s="12">
        <f>Худудлар!C8</f>
        <v>13297680</v>
      </c>
      <c r="D8" s="5">
        <f t="shared" si="0"/>
        <v>61</v>
      </c>
      <c r="E8" s="8">
        <f t="shared" si="1"/>
        <v>13297680</v>
      </c>
      <c r="F8" s="4"/>
      <c r="G8" s="9"/>
      <c r="H8" s="14"/>
    </row>
    <row r="9" spans="1:8" ht="16.5" thickBot="1" x14ac:dyDescent="0.3">
      <c r="A9" s="3">
        <v>46087</v>
      </c>
      <c r="B9" s="36">
        <f>Худудлар!B9</f>
        <v>91</v>
      </c>
      <c r="C9" s="12">
        <f>Худудлар!C9</f>
        <v>21486720</v>
      </c>
      <c r="D9" s="5">
        <f t="shared" si="0"/>
        <v>91</v>
      </c>
      <c r="E9" s="8">
        <f t="shared" si="1"/>
        <v>21486720</v>
      </c>
      <c r="F9" s="4"/>
      <c r="G9" s="9"/>
      <c r="H9" s="14"/>
    </row>
    <row r="10" spans="1:8" ht="15.75" x14ac:dyDescent="0.25">
      <c r="A10" s="37">
        <v>46088</v>
      </c>
      <c r="B10" s="36">
        <f>Худудлар!B10</f>
        <v>159</v>
      </c>
      <c r="C10" s="12">
        <f>Худудлар!C10</f>
        <v>35129900</v>
      </c>
      <c r="D10" s="5">
        <f t="shared" si="0"/>
        <v>159</v>
      </c>
      <c r="E10" s="8">
        <f t="shared" si="1"/>
        <v>35129900</v>
      </c>
      <c r="F10" s="4"/>
      <c r="G10" s="9"/>
      <c r="H10" s="14"/>
    </row>
    <row r="11" spans="1:8" ht="16.5" thickBot="1" x14ac:dyDescent="0.3">
      <c r="A11" s="3">
        <v>46089</v>
      </c>
      <c r="B11" s="36">
        <f>Худудлар!B11</f>
        <v>78</v>
      </c>
      <c r="C11" s="12">
        <f>Худудлар!C11</f>
        <v>20618590</v>
      </c>
      <c r="D11" s="5">
        <f t="shared" si="0"/>
        <v>78</v>
      </c>
      <c r="E11" s="8">
        <f t="shared" si="1"/>
        <v>20618590</v>
      </c>
      <c r="F11" s="4"/>
      <c r="G11" s="9"/>
    </row>
    <row r="12" spans="1:8" ht="15.75" x14ac:dyDescent="0.25">
      <c r="A12" s="37">
        <v>46090</v>
      </c>
      <c r="B12" s="36">
        <f>Худудлар!B12</f>
        <v>54</v>
      </c>
      <c r="C12" s="12">
        <f>Худудлар!C12</f>
        <v>21141360</v>
      </c>
      <c r="D12" s="5">
        <f t="shared" si="0"/>
        <v>54</v>
      </c>
      <c r="E12" s="8">
        <f t="shared" si="1"/>
        <v>21141360</v>
      </c>
      <c r="F12" s="4"/>
      <c r="G12" s="9"/>
    </row>
    <row r="13" spans="1:8" ht="16.5" thickBot="1" x14ac:dyDescent="0.3">
      <c r="A13" s="3">
        <v>46091</v>
      </c>
      <c r="B13" s="36">
        <f>Худудлар!B13</f>
        <v>85</v>
      </c>
      <c r="C13" s="12">
        <f>Худудлар!C13</f>
        <v>19003270</v>
      </c>
      <c r="D13" s="5">
        <f t="shared" si="0"/>
        <v>85</v>
      </c>
      <c r="E13" s="8">
        <f t="shared" si="1"/>
        <v>19003270</v>
      </c>
      <c r="F13" s="4"/>
      <c r="G13" s="9"/>
    </row>
    <row r="14" spans="1:8" ht="15.75" x14ac:dyDescent="0.25">
      <c r="A14" s="37">
        <v>46092</v>
      </c>
      <c r="B14" s="36">
        <f>Худудлар!B14</f>
        <v>31</v>
      </c>
      <c r="C14" s="12">
        <f>Худудлар!C14</f>
        <v>7945520</v>
      </c>
      <c r="D14" s="5">
        <f t="shared" si="0"/>
        <v>31</v>
      </c>
      <c r="E14" s="8">
        <f t="shared" si="1"/>
        <v>7945520</v>
      </c>
      <c r="F14" s="4"/>
      <c r="G14" s="9"/>
    </row>
    <row r="15" spans="1:8" ht="16.5" thickBot="1" x14ac:dyDescent="0.3">
      <c r="A15" s="3">
        <v>46093</v>
      </c>
      <c r="B15" s="36">
        <f>Худудлар!B15</f>
        <v>39</v>
      </c>
      <c r="C15" s="12">
        <f>Худудлар!C15</f>
        <v>8735370</v>
      </c>
      <c r="D15" s="5">
        <f t="shared" si="0"/>
        <v>39</v>
      </c>
      <c r="E15" s="8">
        <f t="shared" si="1"/>
        <v>8735370</v>
      </c>
      <c r="F15" s="4"/>
      <c r="G15" s="9"/>
    </row>
    <row r="16" spans="1:8" ht="15.75" x14ac:dyDescent="0.25">
      <c r="A16" s="37">
        <v>46094</v>
      </c>
      <c r="B16" s="36">
        <f>Худудлар!B16</f>
        <v>72</v>
      </c>
      <c r="C16" s="12">
        <f>Худудлар!C16</f>
        <v>16584410</v>
      </c>
      <c r="D16" s="5">
        <f t="shared" si="0"/>
        <v>72</v>
      </c>
      <c r="E16" s="8">
        <f t="shared" si="1"/>
        <v>16584410</v>
      </c>
      <c r="F16" s="4"/>
      <c r="G16" s="9"/>
    </row>
    <row r="17" spans="1:7" ht="16.5" thickBot="1" x14ac:dyDescent="0.3">
      <c r="A17" s="3">
        <v>46095</v>
      </c>
      <c r="B17" s="36">
        <f>Худудлар!B17</f>
        <v>104</v>
      </c>
      <c r="C17" s="12">
        <f>Худудлар!C17</f>
        <v>25954550</v>
      </c>
      <c r="D17" s="5">
        <f t="shared" si="0"/>
        <v>104</v>
      </c>
      <c r="E17" s="8">
        <f t="shared" si="1"/>
        <v>25954550</v>
      </c>
      <c r="F17" s="4"/>
      <c r="G17" s="9"/>
    </row>
    <row r="18" spans="1:7" ht="15.75" x14ac:dyDescent="0.25">
      <c r="A18" s="37">
        <v>46096</v>
      </c>
      <c r="B18" s="36">
        <f>Худудлар!B18</f>
        <v>120</v>
      </c>
      <c r="C18" s="12">
        <f>Худудлар!C18</f>
        <v>26447910</v>
      </c>
      <c r="D18" s="5">
        <f t="shared" si="0"/>
        <v>120</v>
      </c>
      <c r="E18" s="8">
        <f t="shared" si="1"/>
        <v>26447910</v>
      </c>
      <c r="F18" s="4"/>
      <c r="G18" s="9"/>
    </row>
    <row r="19" spans="1:7" ht="16.5" thickBot="1" x14ac:dyDescent="0.3">
      <c r="A19" s="3">
        <v>46097</v>
      </c>
      <c r="B19" s="36">
        <f>Худудлар!B19</f>
        <v>127</v>
      </c>
      <c r="C19" s="12">
        <f>Худудлар!C19</f>
        <v>33056760</v>
      </c>
      <c r="D19" s="5">
        <f t="shared" si="0"/>
        <v>127</v>
      </c>
      <c r="E19" s="8">
        <f t="shared" si="1"/>
        <v>33056760</v>
      </c>
      <c r="F19" s="4"/>
      <c r="G19" s="9"/>
    </row>
    <row r="20" spans="1:7" ht="15.75" x14ac:dyDescent="0.25">
      <c r="A20" s="37">
        <v>46098</v>
      </c>
      <c r="B20" s="36">
        <f>Худудлар!B20</f>
        <v>119</v>
      </c>
      <c r="C20" s="12">
        <f>Худудлар!C20</f>
        <v>28094210</v>
      </c>
      <c r="D20" s="5">
        <f t="shared" si="0"/>
        <v>119</v>
      </c>
      <c r="E20" s="8">
        <f t="shared" si="1"/>
        <v>28094210</v>
      </c>
      <c r="F20" s="4"/>
      <c r="G20" s="9"/>
    </row>
    <row r="21" spans="1:7" ht="16.5" thickBot="1" x14ac:dyDescent="0.3">
      <c r="A21" s="3">
        <v>46099</v>
      </c>
      <c r="B21" s="36">
        <f>Худудлар!B21</f>
        <v>60</v>
      </c>
      <c r="C21" s="12">
        <f>Худудлар!C21</f>
        <v>12475590</v>
      </c>
      <c r="D21" s="5">
        <f t="shared" si="0"/>
        <v>60</v>
      </c>
      <c r="E21" s="8">
        <f t="shared" si="1"/>
        <v>12475590</v>
      </c>
      <c r="F21" s="23"/>
      <c r="G21" s="10"/>
    </row>
    <row r="22" spans="1:7" ht="15.75" x14ac:dyDescent="0.25">
      <c r="A22" s="37">
        <v>46100</v>
      </c>
      <c r="B22" s="36">
        <f>Худудлар!B22</f>
        <v>27</v>
      </c>
      <c r="C22" s="12">
        <f>Худудлар!C22</f>
        <v>5532510</v>
      </c>
      <c r="D22" s="5">
        <f t="shared" si="0"/>
        <v>27</v>
      </c>
      <c r="E22" s="8">
        <f t="shared" si="1"/>
        <v>5532510</v>
      </c>
      <c r="F22" s="23"/>
      <c r="G22" s="10"/>
    </row>
    <row r="23" spans="1:7" ht="16.5" thickBot="1" x14ac:dyDescent="0.3">
      <c r="A23" s="3">
        <v>46101</v>
      </c>
      <c r="B23" s="36">
        <f>Худудлар!B23</f>
        <v>66</v>
      </c>
      <c r="C23" s="12">
        <f>Худудлар!C23</f>
        <v>13748520</v>
      </c>
      <c r="D23" s="5">
        <f t="shared" si="0"/>
        <v>66</v>
      </c>
      <c r="E23" s="8">
        <f t="shared" si="1"/>
        <v>13748520</v>
      </c>
      <c r="F23" s="23"/>
      <c r="G23" s="10"/>
    </row>
    <row r="24" spans="1:7" ht="15.75" x14ac:dyDescent="0.25">
      <c r="A24" s="37">
        <v>46102</v>
      </c>
      <c r="B24" s="36">
        <f>Худудлар!B24</f>
        <v>88</v>
      </c>
      <c r="C24" s="12">
        <f>Худудлар!C24</f>
        <v>27048270</v>
      </c>
      <c r="D24" s="5">
        <f t="shared" si="0"/>
        <v>88</v>
      </c>
      <c r="E24" s="8">
        <f t="shared" si="1"/>
        <v>27048270</v>
      </c>
      <c r="F24" s="4"/>
      <c r="G24" s="9"/>
    </row>
    <row r="25" spans="1:7" ht="16.5" thickBot="1" x14ac:dyDescent="0.3">
      <c r="A25" s="3">
        <v>46103</v>
      </c>
      <c r="B25" s="36">
        <f>Худудлар!B25</f>
        <v>36</v>
      </c>
      <c r="C25" s="12">
        <f>Худудлар!C25</f>
        <v>10529190</v>
      </c>
      <c r="D25" s="5">
        <f t="shared" si="0"/>
        <v>36</v>
      </c>
      <c r="E25" s="8">
        <f t="shared" si="1"/>
        <v>10529190</v>
      </c>
      <c r="F25" s="4"/>
      <c r="G25" s="9"/>
    </row>
    <row r="26" spans="1:7" ht="15.75" x14ac:dyDescent="0.25">
      <c r="A26" s="37">
        <v>46104</v>
      </c>
      <c r="B26" s="36">
        <f>Худудлар!B26</f>
        <v>38</v>
      </c>
      <c r="C26" s="12">
        <f>Худудлар!C26</f>
        <v>7291410</v>
      </c>
      <c r="D26" s="5">
        <f t="shared" si="0"/>
        <v>38</v>
      </c>
      <c r="E26" s="8">
        <f t="shared" si="1"/>
        <v>7291410</v>
      </c>
      <c r="F26" s="4"/>
      <c r="G26" s="9"/>
    </row>
    <row r="27" spans="1:7" ht="16.5" thickBot="1" x14ac:dyDescent="0.3">
      <c r="A27" s="3">
        <v>46105</v>
      </c>
      <c r="B27" s="36">
        <f>Худудлар!B27</f>
        <v>88</v>
      </c>
      <c r="C27" s="12">
        <f>Худудлар!C27</f>
        <v>20622730</v>
      </c>
      <c r="D27" s="5">
        <f t="shared" si="0"/>
        <v>88</v>
      </c>
      <c r="E27" s="8">
        <f t="shared" si="1"/>
        <v>20622730</v>
      </c>
      <c r="F27" s="4"/>
      <c r="G27" s="9"/>
    </row>
    <row r="28" spans="1:7" ht="15.75" x14ac:dyDescent="0.25">
      <c r="A28" s="37">
        <v>46106</v>
      </c>
      <c r="B28" s="36">
        <f>Худудлар!B28</f>
        <v>40</v>
      </c>
      <c r="C28" s="12">
        <f>Худудлар!C28</f>
        <v>9179790</v>
      </c>
      <c r="D28" s="5">
        <f t="shared" si="0"/>
        <v>40</v>
      </c>
      <c r="E28" s="8">
        <f t="shared" si="1"/>
        <v>9179790</v>
      </c>
      <c r="F28" s="4"/>
      <c r="G28" s="9"/>
    </row>
    <row r="29" spans="1:7" ht="16.5" thickBot="1" x14ac:dyDescent="0.3">
      <c r="A29" s="3">
        <v>46107</v>
      </c>
      <c r="B29" s="36">
        <f>Худудлар!B29</f>
        <v>27</v>
      </c>
      <c r="C29" s="12">
        <f>Худудлар!C29</f>
        <v>8003770</v>
      </c>
      <c r="D29" s="5">
        <f t="shared" si="0"/>
        <v>27</v>
      </c>
      <c r="E29" s="8">
        <f t="shared" si="1"/>
        <v>8003770</v>
      </c>
      <c r="F29" s="23"/>
      <c r="G29" s="9"/>
    </row>
    <row r="30" spans="1:7" ht="15.75" x14ac:dyDescent="0.25">
      <c r="A30" s="37">
        <v>46108</v>
      </c>
      <c r="B30" s="36">
        <f>Худудлар!B30</f>
        <v>50</v>
      </c>
      <c r="C30" s="12">
        <f>Худудлар!C30</f>
        <v>13709590</v>
      </c>
      <c r="D30" s="5">
        <f t="shared" si="0"/>
        <v>50</v>
      </c>
      <c r="E30" s="8">
        <f t="shared" si="1"/>
        <v>13709590</v>
      </c>
      <c r="F30" s="4"/>
      <c r="G30" s="9"/>
    </row>
    <row r="31" spans="1:7" ht="16.5" thickBot="1" x14ac:dyDescent="0.3">
      <c r="A31" s="3">
        <v>46109</v>
      </c>
      <c r="B31" s="36">
        <f>Худудлар!B31</f>
        <v>82</v>
      </c>
      <c r="C31" s="12">
        <f>Худудлар!C31</f>
        <v>19416350</v>
      </c>
      <c r="D31" s="5">
        <f t="shared" si="0"/>
        <v>82</v>
      </c>
      <c r="E31" s="8">
        <f t="shared" si="1"/>
        <v>19416350</v>
      </c>
      <c r="F31" s="23"/>
      <c r="G31" s="9"/>
    </row>
    <row r="32" spans="1:7" ht="15.75" x14ac:dyDescent="0.25">
      <c r="A32" s="37">
        <v>46110</v>
      </c>
      <c r="B32" s="36">
        <f>Худудлар!B32</f>
        <v>51</v>
      </c>
      <c r="C32" s="12">
        <f>Худудлар!C32</f>
        <v>13842190</v>
      </c>
      <c r="D32" s="5">
        <f t="shared" ref="D32:D33" si="2">B32-F32</f>
        <v>51</v>
      </c>
      <c r="E32" s="8">
        <f t="shared" ref="E32:E33" si="3">C32-G32</f>
        <v>13842190</v>
      </c>
      <c r="F32" s="23"/>
      <c r="G32" s="9"/>
    </row>
    <row r="33" spans="1:8" ht="16.5" thickBot="1" x14ac:dyDescent="0.3">
      <c r="A33" s="3">
        <v>46111</v>
      </c>
      <c r="B33" s="36">
        <f>Худудлар!B33</f>
        <v>117</v>
      </c>
      <c r="C33" s="12">
        <f>Худудлар!C33</f>
        <v>25550420</v>
      </c>
      <c r="D33" s="5">
        <f t="shared" si="2"/>
        <v>117</v>
      </c>
      <c r="E33" s="8">
        <f t="shared" si="3"/>
        <v>25550420</v>
      </c>
      <c r="F33" s="4"/>
      <c r="G33" s="9"/>
    </row>
    <row r="34" spans="1:8" ht="19.5" thickBot="1" x14ac:dyDescent="0.3">
      <c r="A34" s="38" t="s">
        <v>1</v>
      </c>
      <c r="B34" s="39">
        <f t="shared" ref="B34:G34" si="4">SUM(B4:B31)</f>
        <v>1988</v>
      </c>
      <c r="C34" s="40">
        <f t="shared" si="4"/>
        <v>481312610</v>
      </c>
      <c r="D34" s="41">
        <f t="shared" si="4"/>
        <v>1988</v>
      </c>
      <c r="E34" s="42">
        <f t="shared" si="4"/>
        <v>481312610</v>
      </c>
      <c r="F34" s="43">
        <f t="shared" si="4"/>
        <v>0</v>
      </c>
      <c r="G34" s="42">
        <f t="shared" si="4"/>
        <v>0</v>
      </c>
      <c r="H34" s="14"/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  <pageSetup paperSize="9" orientation="portrait" r:id="rId1"/>
  <ignoredErrors>
    <ignoredError sqref="G34" formulaRange="1"/>
    <ignoredError sqref="F34 D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tabSelected="1" zoomScale="70" zoomScaleNormal="70" workbookViewId="0">
      <selection activeCell="B34" sqref="A1:AG34"/>
    </sheetView>
  </sheetViews>
  <sheetFormatPr defaultColWidth="21.85546875" defaultRowHeight="18.75" x14ac:dyDescent="0.25"/>
  <cols>
    <col min="1" max="1" width="18.42578125" style="1" bestFit="1" customWidth="1"/>
    <col min="2" max="2" width="15.28515625" style="1" customWidth="1"/>
    <col min="3" max="3" width="25.7109375" style="1" customWidth="1"/>
    <col min="4" max="4" width="12.42578125" style="1" customWidth="1"/>
    <col min="5" max="5" width="25.7109375" style="1" customWidth="1"/>
    <col min="6" max="6" width="12.42578125" style="1" customWidth="1"/>
    <col min="7" max="7" width="23.85546875" style="1" customWidth="1"/>
    <col min="8" max="8" width="15.28515625" style="1" customWidth="1"/>
    <col min="9" max="9" width="25.7109375" style="1" customWidth="1"/>
    <col min="10" max="10" width="10.5703125" style="1" customWidth="1"/>
    <col min="11" max="11" width="23.85546875" style="1" customWidth="1"/>
    <col min="12" max="12" width="12.42578125" style="1" customWidth="1"/>
    <col min="13" max="13" width="23.85546875" style="1" customWidth="1"/>
    <col min="14" max="14" width="12.42578125" style="1" customWidth="1"/>
    <col min="15" max="15" width="23.85546875" style="1" customWidth="1"/>
    <col min="16" max="16" width="12.42578125" style="1" customWidth="1"/>
    <col min="17" max="17" width="23.85546875" style="1" customWidth="1"/>
    <col min="18" max="18" width="10.5703125" style="1" customWidth="1"/>
    <col min="19" max="19" width="23.85546875" style="1" customWidth="1"/>
    <col min="20" max="20" width="12.42578125" style="1" customWidth="1"/>
    <col min="21" max="21" width="23.85546875" style="1" customWidth="1"/>
    <col min="22" max="22" width="12.42578125" style="1" customWidth="1"/>
    <col min="23" max="23" width="23.85546875" style="1" customWidth="1"/>
    <col min="24" max="24" width="10.5703125" style="1" bestFit="1" customWidth="1"/>
    <col min="25" max="25" width="21.7109375" style="1" bestFit="1" customWidth="1"/>
    <col min="26" max="26" width="12.42578125" style="1" bestFit="1" customWidth="1"/>
    <col min="27" max="27" width="23.85546875" style="2" bestFit="1" customWidth="1"/>
    <col min="28" max="28" width="12.42578125" style="1" bestFit="1" customWidth="1"/>
    <col min="29" max="29" width="23.85546875" style="1" bestFit="1" customWidth="1"/>
    <col min="30" max="30" width="12.42578125" style="1" bestFit="1" customWidth="1"/>
    <col min="31" max="31" width="25.7109375" style="1" bestFit="1" customWidth="1"/>
    <col min="32" max="32" width="10.5703125" style="1" bestFit="1" customWidth="1"/>
    <col min="33" max="33" width="23.85546875" style="1" bestFit="1" customWidth="1"/>
    <col min="34" max="16384" width="21.85546875" style="1"/>
  </cols>
  <sheetData>
    <row r="1" spans="1:33" ht="81" customHeight="1" thickBot="1" x14ac:dyDescent="0.3">
      <c r="A1" s="78" t="s">
        <v>0</v>
      </c>
      <c r="B1" s="81" t="s">
        <v>1</v>
      </c>
      <c r="C1" s="82"/>
      <c r="D1" s="87" t="s">
        <v>43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9"/>
    </row>
    <row r="2" spans="1:33" ht="21" thickBot="1" x14ac:dyDescent="0.3">
      <c r="A2" s="79"/>
      <c r="B2" s="83"/>
      <c r="C2" s="84"/>
      <c r="D2" s="85" t="s">
        <v>20</v>
      </c>
      <c r="E2" s="86"/>
      <c r="F2" s="92" t="s">
        <v>21</v>
      </c>
      <c r="G2" s="93"/>
      <c r="H2" s="85" t="s">
        <v>6</v>
      </c>
      <c r="I2" s="86"/>
      <c r="J2" s="85" t="s">
        <v>7</v>
      </c>
      <c r="K2" s="86"/>
      <c r="L2" s="85" t="s">
        <v>8</v>
      </c>
      <c r="M2" s="86"/>
      <c r="N2" s="85" t="s">
        <v>9</v>
      </c>
      <c r="O2" s="86"/>
      <c r="P2" s="85" t="s">
        <v>10</v>
      </c>
      <c r="Q2" s="86"/>
      <c r="R2" s="85" t="s">
        <v>11</v>
      </c>
      <c r="S2" s="86"/>
      <c r="T2" s="85" t="s">
        <v>12</v>
      </c>
      <c r="U2" s="86"/>
      <c r="V2" s="85" t="s">
        <v>13</v>
      </c>
      <c r="W2" s="86"/>
      <c r="X2" s="90" t="s">
        <v>14</v>
      </c>
      <c r="Y2" s="91"/>
      <c r="Z2" s="85" t="s">
        <v>15</v>
      </c>
      <c r="AA2" s="86"/>
      <c r="AB2" s="85" t="s">
        <v>16</v>
      </c>
      <c r="AC2" s="86"/>
      <c r="AD2" s="85" t="s">
        <v>17</v>
      </c>
      <c r="AE2" s="86"/>
      <c r="AF2" s="85" t="s">
        <v>18</v>
      </c>
      <c r="AG2" s="86"/>
    </row>
    <row r="3" spans="1:33" ht="21" thickBot="1" x14ac:dyDescent="0.3">
      <c r="A3" s="80"/>
      <c r="B3" s="49" t="s">
        <v>3</v>
      </c>
      <c r="C3" s="54" t="s">
        <v>4</v>
      </c>
      <c r="D3" s="63" t="s">
        <v>3</v>
      </c>
      <c r="E3" s="64" t="s">
        <v>4</v>
      </c>
      <c r="F3" s="50" t="s">
        <v>3</v>
      </c>
      <c r="G3" s="64" t="s">
        <v>4</v>
      </c>
      <c r="H3" s="63" t="s">
        <v>3</v>
      </c>
      <c r="I3" s="64" t="s">
        <v>4</v>
      </c>
      <c r="J3" s="63" t="s">
        <v>3</v>
      </c>
      <c r="K3" s="64" t="s">
        <v>4</v>
      </c>
      <c r="L3" s="63" t="s">
        <v>3</v>
      </c>
      <c r="M3" s="64" t="s">
        <v>4</v>
      </c>
      <c r="N3" s="63" t="s">
        <v>3</v>
      </c>
      <c r="O3" s="64" t="s">
        <v>4</v>
      </c>
      <c r="P3" s="63" t="s">
        <v>3</v>
      </c>
      <c r="Q3" s="64" t="s">
        <v>4</v>
      </c>
      <c r="R3" s="63" t="s">
        <v>3</v>
      </c>
      <c r="S3" s="64" t="s">
        <v>4</v>
      </c>
      <c r="T3" s="63" t="s">
        <v>3</v>
      </c>
      <c r="U3" s="64" t="s">
        <v>4</v>
      </c>
      <c r="V3" s="63" t="s">
        <v>3</v>
      </c>
      <c r="W3" s="64" t="s">
        <v>4</v>
      </c>
      <c r="X3" s="65" t="s">
        <v>3</v>
      </c>
      <c r="Y3" s="66" t="s">
        <v>4</v>
      </c>
      <c r="Z3" s="65" t="s">
        <v>3</v>
      </c>
      <c r="AA3" s="51" t="s">
        <v>4</v>
      </c>
      <c r="AB3" s="65" t="s">
        <v>3</v>
      </c>
      <c r="AC3" s="66" t="s">
        <v>4</v>
      </c>
      <c r="AD3" s="65" t="s">
        <v>3</v>
      </c>
      <c r="AE3" s="66" t="s">
        <v>4</v>
      </c>
      <c r="AF3" s="65" t="s">
        <v>3</v>
      </c>
      <c r="AG3" s="66" t="s">
        <v>4</v>
      </c>
    </row>
    <row r="4" spans="1:33" ht="21" thickBot="1" x14ac:dyDescent="0.3">
      <c r="A4" s="52">
        <v>46113</v>
      </c>
      <c r="B4" s="55">
        <f>D4+F4+H4+J4+L4+N4+P4+R4+T4+V4+X4+Z4+AB4+AD4+AF4</f>
        <v>72</v>
      </c>
      <c r="C4" s="56">
        <f>E4+G4+I4+K4+M4+O4+Q4+S4+U4+W4+Y4+AA4+AC4+AE4+AG4</f>
        <v>14909370</v>
      </c>
      <c r="D4" s="6">
        <v>5</v>
      </c>
      <c r="E4" s="7">
        <v>1305450</v>
      </c>
      <c r="F4" s="57">
        <v>0</v>
      </c>
      <c r="G4" s="58">
        <v>0</v>
      </c>
      <c r="H4" s="6">
        <v>34</v>
      </c>
      <c r="I4" s="7">
        <v>7048250</v>
      </c>
      <c r="J4" s="6">
        <v>0</v>
      </c>
      <c r="K4" s="7">
        <v>0</v>
      </c>
      <c r="L4" s="6">
        <v>8</v>
      </c>
      <c r="M4" s="7">
        <v>2110230</v>
      </c>
      <c r="N4" s="6">
        <v>0</v>
      </c>
      <c r="O4" s="7">
        <v>0</v>
      </c>
      <c r="P4" s="6">
        <v>4</v>
      </c>
      <c r="Q4" s="7">
        <v>995930</v>
      </c>
      <c r="R4" s="6">
        <v>4</v>
      </c>
      <c r="S4" s="7">
        <v>769240</v>
      </c>
      <c r="T4" s="6">
        <v>0</v>
      </c>
      <c r="U4" s="7">
        <v>0</v>
      </c>
      <c r="V4" s="6">
        <v>3</v>
      </c>
      <c r="W4" s="7">
        <v>315090</v>
      </c>
      <c r="X4" s="6">
        <v>0</v>
      </c>
      <c r="Y4" s="7">
        <v>0</v>
      </c>
      <c r="Z4" s="6">
        <v>1</v>
      </c>
      <c r="AA4" s="7">
        <v>120520</v>
      </c>
      <c r="AB4" s="6">
        <v>1</v>
      </c>
      <c r="AC4" s="7">
        <v>202920</v>
      </c>
      <c r="AD4" s="6">
        <v>12</v>
      </c>
      <c r="AE4" s="7">
        <v>2041740</v>
      </c>
      <c r="AF4" s="6">
        <v>0</v>
      </c>
      <c r="AG4" s="7">
        <v>0</v>
      </c>
    </row>
    <row r="5" spans="1:33" ht="21" thickBot="1" x14ac:dyDescent="0.3">
      <c r="A5" s="52">
        <v>46114</v>
      </c>
      <c r="B5" s="55">
        <f>D5+F5+H5+J5+L5+N5+P5+R5+T5+V5+X5+Z5+AB5+AD5+AF5</f>
        <v>51</v>
      </c>
      <c r="C5" s="56">
        <f t="shared" ref="C5:C33" si="0">E5+G5+I5+K5+M5+O5+Q5+S5+U5+W5+Y5+AA5+AC5+AE5+AG5</f>
        <v>12601460</v>
      </c>
      <c r="D5" s="6">
        <v>8</v>
      </c>
      <c r="E5" s="7">
        <v>1384470</v>
      </c>
      <c r="F5" s="6">
        <v>0</v>
      </c>
      <c r="G5" s="7">
        <v>0</v>
      </c>
      <c r="H5" s="6">
        <v>13</v>
      </c>
      <c r="I5" s="7">
        <v>2991160</v>
      </c>
      <c r="J5" s="6">
        <v>0</v>
      </c>
      <c r="K5" s="7">
        <v>0</v>
      </c>
      <c r="L5" s="6">
        <v>9</v>
      </c>
      <c r="M5" s="7">
        <v>2252210</v>
      </c>
      <c r="N5" s="6">
        <v>0</v>
      </c>
      <c r="O5" s="7">
        <v>0</v>
      </c>
      <c r="P5" s="6">
        <v>0</v>
      </c>
      <c r="Q5" s="7">
        <v>0</v>
      </c>
      <c r="R5" s="6">
        <v>1</v>
      </c>
      <c r="S5" s="7">
        <v>192310</v>
      </c>
      <c r="T5" s="6">
        <v>2</v>
      </c>
      <c r="U5" s="7">
        <v>558890</v>
      </c>
      <c r="V5" s="6">
        <v>0</v>
      </c>
      <c r="W5" s="7">
        <v>0</v>
      </c>
      <c r="X5" s="6">
        <v>0</v>
      </c>
      <c r="Y5" s="7">
        <v>0</v>
      </c>
      <c r="Z5" s="6">
        <v>15</v>
      </c>
      <c r="AA5" s="7">
        <v>4636850</v>
      </c>
      <c r="AB5" s="6">
        <v>2</v>
      </c>
      <c r="AC5" s="7">
        <v>369920</v>
      </c>
      <c r="AD5" s="6">
        <v>1</v>
      </c>
      <c r="AE5" s="7">
        <v>215650</v>
      </c>
      <c r="AF5" s="6">
        <v>0</v>
      </c>
      <c r="AG5" s="7">
        <v>0</v>
      </c>
    </row>
    <row r="6" spans="1:33" ht="21" thickBot="1" x14ac:dyDescent="0.3">
      <c r="A6" s="52">
        <v>46115</v>
      </c>
      <c r="B6" s="55">
        <f t="shared" ref="B6:B33" si="1">D6+F6+H6+J6+L6+N6+P6+R6+T6+V6+X6+Z6+AB6+AD6+AF6</f>
        <v>64</v>
      </c>
      <c r="C6" s="56">
        <f t="shared" si="0"/>
        <v>13796560</v>
      </c>
      <c r="D6" s="6">
        <v>12</v>
      </c>
      <c r="E6" s="7">
        <v>3690680</v>
      </c>
      <c r="F6" s="6">
        <v>2</v>
      </c>
      <c r="G6" s="7">
        <v>517220</v>
      </c>
      <c r="H6" s="6">
        <v>5</v>
      </c>
      <c r="I6" s="7">
        <v>897960</v>
      </c>
      <c r="J6" s="6">
        <v>0</v>
      </c>
      <c r="K6" s="7">
        <v>0</v>
      </c>
      <c r="L6" s="6">
        <v>16</v>
      </c>
      <c r="M6" s="7">
        <v>3165700</v>
      </c>
      <c r="N6" s="6">
        <v>0</v>
      </c>
      <c r="O6" s="67">
        <v>0</v>
      </c>
      <c r="P6" s="6">
        <v>0</v>
      </c>
      <c r="Q6" s="7">
        <v>0</v>
      </c>
      <c r="R6" s="6">
        <v>0</v>
      </c>
      <c r="S6" s="7">
        <v>0</v>
      </c>
      <c r="T6" s="6">
        <v>11</v>
      </c>
      <c r="U6" s="7">
        <v>2061080</v>
      </c>
      <c r="V6" s="6">
        <v>2</v>
      </c>
      <c r="W6" s="7">
        <v>433400</v>
      </c>
      <c r="X6" s="6">
        <v>0</v>
      </c>
      <c r="Y6" s="7">
        <v>0</v>
      </c>
      <c r="Z6" s="6">
        <v>0</v>
      </c>
      <c r="AA6" s="7">
        <v>0</v>
      </c>
      <c r="AB6" s="6">
        <v>1</v>
      </c>
      <c r="AC6" s="7">
        <v>184960</v>
      </c>
      <c r="AD6" s="6">
        <v>14</v>
      </c>
      <c r="AE6" s="7">
        <v>2628860</v>
      </c>
      <c r="AF6" s="6">
        <v>1</v>
      </c>
      <c r="AG6" s="7">
        <v>216700</v>
      </c>
    </row>
    <row r="7" spans="1:33" ht="21" thickBot="1" x14ac:dyDescent="0.3">
      <c r="A7" s="52">
        <v>46116</v>
      </c>
      <c r="B7" s="55">
        <f t="shared" si="1"/>
        <v>59</v>
      </c>
      <c r="C7" s="56">
        <f>E7+G7+I7+K7+M7+O7+Q7+S7+U7+W7+Y7+AA7+AC7+AE7+AG7</f>
        <v>14951250</v>
      </c>
      <c r="D7" s="6">
        <v>10</v>
      </c>
      <c r="E7" s="7">
        <v>2981990</v>
      </c>
      <c r="F7" s="6">
        <v>2</v>
      </c>
      <c r="G7" s="7">
        <v>405840</v>
      </c>
      <c r="H7" s="6">
        <v>15</v>
      </c>
      <c r="I7" s="7">
        <v>3200920</v>
      </c>
      <c r="J7" s="6">
        <v>1</v>
      </c>
      <c r="K7" s="7">
        <v>246550</v>
      </c>
      <c r="L7" s="6">
        <v>2</v>
      </c>
      <c r="M7" s="7">
        <v>752750</v>
      </c>
      <c r="N7" s="6">
        <v>0</v>
      </c>
      <c r="O7" s="7">
        <v>0</v>
      </c>
      <c r="P7" s="6">
        <v>1</v>
      </c>
      <c r="Q7" s="7">
        <v>171090</v>
      </c>
      <c r="R7" s="6">
        <v>4</v>
      </c>
      <c r="S7" s="7">
        <v>902700</v>
      </c>
      <c r="T7" s="6">
        <v>6</v>
      </c>
      <c r="U7" s="7">
        <v>1550040</v>
      </c>
      <c r="V7" s="6">
        <v>0</v>
      </c>
      <c r="W7" s="7">
        <v>0</v>
      </c>
      <c r="X7" s="6">
        <v>0</v>
      </c>
      <c r="Y7" s="7">
        <v>0</v>
      </c>
      <c r="Z7" s="6">
        <v>1</v>
      </c>
      <c r="AA7" s="7">
        <v>348460</v>
      </c>
      <c r="AB7" s="6">
        <v>7</v>
      </c>
      <c r="AC7" s="7">
        <v>1824060</v>
      </c>
      <c r="AD7" s="6">
        <v>0</v>
      </c>
      <c r="AE7" s="7">
        <v>0</v>
      </c>
      <c r="AF7" s="6">
        <v>10</v>
      </c>
      <c r="AG7" s="7">
        <v>2566850</v>
      </c>
    </row>
    <row r="8" spans="1:33" ht="21" thickBot="1" x14ac:dyDescent="0.3">
      <c r="A8" s="52">
        <v>46117</v>
      </c>
      <c r="B8" s="55">
        <f t="shared" si="1"/>
        <v>61</v>
      </c>
      <c r="C8" s="56">
        <f t="shared" si="0"/>
        <v>13297680</v>
      </c>
      <c r="D8" s="6">
        <v>14</v>
      </c>
      <c r="E8" s="7">
        <v>3205120</v>
      </c>
      <c r="F8" s="6">
        <v>0</v>
      </c>
      <c r="G8" s="7">
        <v>0</v>
      </c>
      <c r="H8" s="6">
        <v>27</v>
      </c>
      <c r="I8" s="7">
        <v>6275900</v>
      </c>
      <c r="J8" s="6">
        <v>0</v>
      </c>
      <c r="K8" s="7">
        <v>0</v>
      </c>
      <c r="L8" s="6">
        <v>0</v>
      </c>
      <c r="M8" s="7">
        <v>0</v>
      </c>
      <c r="N8" s="6">
        <v>0</v>
      </c>
      <c r="O8" s="7">
        <v>0</v>
      </c>
      <c r="P8" s="6">
        <v>0</v>
      </c>
      <c r="Q8" s="7">
        <v>0</v>
      </c>
      <c r="R8" s="6">
        <v>6</v>
      </c>
      <c r="S8" s="7">
        <v>1176800</v>
      </c>
      <c r="T8" s="6">
        <v>1</v>
      </c>
      <c r="U8" s="7">
        <v>142980</v>
      </c>
      <c r="V8" s="6">
        <v>9</v>
      </c>
      <c r="W8" s="7">
        <v>1868480</v>
      </c>
      <c r="X8" s="6">
        <v>0</v>
      </c>
      <c r="Y8" s="7">
        <v>0</v>
      </c>
      <c r="Z8" s="6">
        <v>4</v>
      </c>
      <c r="AA8" s="7">
        <v>628400</v>
      </c>
      <c r="AB8" s="6">
        <v>0</v>
      </c>
      <c r="AC8" s="7">
        <v>0</v>
      </c>
      <c r="AD8" s="6">
        <v>0</v>
      </c>
      <c r="AE8" s="7">
        <v>0</v>
      </c>
      <c r="AF8" s="6">
        <v>0</v>
      </c>
      <c r="AG8" s="7">
        <v>0</v>
      </c>
    </row>
    <row r="9" spans="1:33" ht="21" thickBot="1" x14ac:dyDescent="0.3">
      <c r="A9" s="52">
        <v>46118</v>
      </c>
      <c r="B9" s="55">
        <f t="shared" si="1"/>
        <v>91</v>
      </c>
      <c r="C9" s="56">
        <f t="shared" si="0"/>
        <v>21486720</v>
      </c>
      <c r="D9" s="6">
        <v>13</v>
      </c>
      <c r="E9" s="7">
        <v>3362050</v>
      </c>
      <c r="F9" s="6"/>
      <c r="G9" s="7"/>
      <c r="H9" s="6">
        <v>31</v>
      </c>
      <c r="I9" s="7">
        <v>6826990</v>
      </c>
      <c r="J9" s="6"/>
      <c r="K9" s="7"/>
      <c r="L9" s="6">
        <v>16</v>
      </c>
      <c r="M9" s="7">
        <v>3836140</v>
      </c>
      <c r="N9" s="6"/>
      <c r="O9" s="7"/>
      <c r="P9" s="6">
        <v>4</v>
      </c>
      <c r="Q9" s="7">
        <v>822070</v>
      </c>
      <c r="R9" s="6">
        <v>1</v>
      </c>
      <c r="S9" s="7">
        <v>272940</v>
      </c>
      <c r="T9" s="6">
        <v>7</v>
      </c>
      <c r="U9" s="7">
        <v>1668510</v>
      </c>
      <c r="V9" s="6">
        <v>1</v>
      </c>
      <c r="W9" s="7">
        <v>216700</v>
      </c>
      <c r="X9" s="6"/>
      <c r="Y9" s="7"/>
      <c r="Z9" s="6"/>
      <c r="AA9" s="7"/>
      <c r="AB9" s="6">
        <v>2</v>
      </c>
      <c r="AC9" s="7">
        <v>784520</v>
      </c>
      <c r="AD9" s="6">
        <v>12</v>
      </c>
      <c r="AE9" s="7">
        <v>2984840</v>
      </c>
      <c r="AF9" s="6">
        <v>4</v>
      </c>
      <c r="AG9" s="7">
        <v>711960</v>
      </c>
    </row>
    <row r="10" spans="1:33" ht="21" thickBot="1" x14ac:dyDescent="0.3">
      <c r="A10" s="52">
        <v>46119</v>
      </c>
      <c r="B10" s="55">
        <f t="shared" si="1"/>
        <v>159</v>
      </c>
      <c r="C10" s="56">
        <f t="shared" si="0"/>
        <v>35129900</v>
      </c>
      <c r="D10" s="6">
        <v>32</v>
      </c>
      <c r="E10" s="7">
        <v>8868850</v>
      </c>
      <c r="F10" s="6"/>
      <c r="G10" s="7"/>
      <c r="H10" s="6"/>
      <c r="I10" s="7"/>
      <c r="J10" s="6"/>
      <c r="K10" s="7"/>
      <c r="L10" s="6">
        <v>18</v>
      </c>
      <c r="M10" s="7">
        <v>3626560</v>
      </c>
      <c r="N10" s="6"/>
      <c r="O10" s="67"/>
      <c r="P10" s="6">
        <v>3</v>
      </c>
      <c r="Q10" s="7">
        <v>589970</v>
      </c>
      <c r="R10" s="6">
        <v>3</v>
      </c>
      <c r="S10" s="7">
        <v>584680</v>
      </c>
      <c r="T10" s="6">
        <v>17</v>
      </c>
      <c r="U10" s="7">
        <v>3487380</v>
      </c>
      <c r="V10" s="6">
        <v>4</v>
      </c>
      <c r="W10" s="7">
        <v>1034440</v>
      </c>
      <c r="X10" s="6"/>
      <c r="Y10" s="7"/>
      <c r="Z10" s="6">
        <v>15</v>
      </c>
      <c r="AA10" s="7">
        <v>3577990</v>
      </c>
      <c r="AB10" s="6">
        <v>12</v>
      </c>
      <c r="AC10" s="7">
        <v>2143330</v>
      </c>
      <c r="AD10" s="6">
        <v>55</v>
      </c>
      <c r="AE10" s="7">
        <v>11216700</v>
      </c>
      <c r="AF10" s="6"/>
      <c r="AG10" s="7"/>
    </row>
    <row r="11" spans="1:33" ht="21" thickBot="1" x14ac:dyDescent="0.3">
      <c r="A11" s="52">
        <v>46120</v>
      </c>
      <c r="B11" s="55">
        <f t="shared" si="1"/>
        <v>78</v>
      </c>
      <c r="C11" s="56">
        <f t="shared" si="0"/>
        <v>20618590</v>
      </c>
      <c r="D11" s="6">
        <v>26</v>
      </c>
      <c r="E11" s="7">
        <v>7839430</v>
      </c>
      <c r="F11" s="6"/>
      <c r="G11" s="7"/>
      <c r="H11" s="6"/>
      <c r="I11" s="7"/>
      <c r="J11" s="6">
        <v>1</v>
      </c>
      <c r="K11" s="7">
        <v>246550</v>
      </c>
      <c r="L11" s="6">
        <v>9</v>
      </c>
      <c r="M11" s="7">
        <v>2291460</v>
      </c>
      <c r="N11" s="6"/>
      <c r="O11" s="7"/>
      <c r="P11" s="6"/>
      <c r="Q11" s="7"/>
      <c r="R11" s="6"/>
      <c r="S11" s="7"/>
      <c r="T11" s="6">
        <v>4</v>
      </c>
      <c r="U11" s="7">
        <v>823480</v>
      </c>
      <c r="V11" s="6">
        <v>13</v>
      </c>
      <c r="W11" s="7">
        <v>3892190</v>
      </c>
      <c r="X11" s="6"/>
      <c r="Y11" s="7"/>
      <c r="Z11" s="6">
        <v>13</v>
      </c>
      <c r="AA11" s="7">
        <v>2834860</v>
      </c>
      <c r="AB11" s="6">
        <v>11</v>
      </c>
      <c r="AC11" s="7">
        <v>2386410</v>
      </c>
      <c r="AD11" s="6"/>
      <c r="AE11" s="7"/>
      <c r="AF11" s="6">
        <v>1</v>
      </c>
      <c r="AG11" s="7">
        <v>304210</v>
      </c>
    </row>
    <row r="12" spans="1:33" ht="21" thickBot="1" x14ac:dyDescent="0.3">
      <c r="A12" s="52">
        <v>46121</v>
      </c>
      <c r="B12" s="55">
        <f t="shared" si="1"/>
        <v>54</v>
      </c>
      <c r="C12" s="56">
        <f t="shared" si="0"/>
        <v>21141360</v>
      </c>
      <c r="D12" s="6"/>
      <c r="E12" s="7"/>
      <c r="F12" s="6"/>
      <c r="G12" s="7"/>
      <c r="H12" s="6">
        <v>1</v>
      </c>
      <c r="I12" s="7">
        <v>566450</v>
      </c>
      <c r="J12" s="6"/>
      <c r="K12" s="7"/>
      <c r="L12" s="6"/>
      <c r="M12" s="7"/>
      <c r="N12" s="6"/>
      <c r="O12" s="7"/>
      <c r="P12" s="6">
        <v>9</v>
      </c>
      <c r="Q12" s="7">
        <v>2943610</v>
      </c>
      <c r="R12" s="6"/>
      <c r="S12" s="7"/>
      <c r="T12" s="6">
        <v>8</v>
      </c>
      <c r="U12" s="7">
        <v>2289650</v>
      </c>
      <c r="V12" s="6">
        <v>18</v>
      </c>
      <c r="W12" s="7">
        <v>11897080</v>
      </c>
      <c r="X12" s="6"/>
      <c r="Y12" s="7"/>
      <c r="Z12" s="6">
        <v>2</v>
      </c>
      <c r="AA12" s="7">
        <v>272200</v>
      </c>
      <c r="AB12" s="6">
        <v>4</v>
      </c>
      <c r="AC12" s="7">
        <v>811130</v>
      </c>
      <c r="AD12" s="6">
        <v>7</v>
      </c>
      <c r="AE12" s="7">
        <v>1365250</v>
      </c>
      <c r="AF12" s="6">
        <v>5</v>
      </c>
      <c r="AG12" s="7">
        <v>995990</v>
      </c>
    </row>
    <row r="13" spans="1:33" ht="21" thickBot="1" x14ac:dyDescent="0.3">
      <c r="A13" s="52">
        <v>46122</v>
      </c>
      <c r="B13" s="55">
        <f t="shared" si="1"/>
        <v>85</v>
      </c>
      <c r="C13" s="56">
        <f t="shared" si="0"/>
        <v>19003270</v>
      </c>
      <c r="D13" s="6">
        <v>3</v>
      </c>
      <c r="E13" s="7">
        <v>691020</v>
      </c>
      <c r="F13" s="6"/>
      <c r="G13" s="7"/>
      <c r="H13" s="6">
        <v>20</v>
      </c>
      <c r="I13" s="7">
        <v>3943630</v>
      </c>
      <c r="J13" s="6"/>
      <c r="K13" s="7"/>
      <c r="L13" s="6">
        <v>6</v>
      </c>
      <c r="M13" s="7">
        <v>984380</v>
      </c>
      <c r="N13" s="6">
        <v>14</v>
      </c>
      <c r="O13" s="7">
        <v>3341280</v>
      </c>
      <c r="P13" s="6">
        <v>3</v>
      </c>
      <c r="Q13" s="7">
        <v>662750</v>
      </c>
      <c r="R13" s="6"/>
      <c r="S13" s="7"/>
      <c r="T13" s="6">
        <v>10</v>
      </c>
      <c r="U13" s="7">
        <v>2839660</v>
      </c>
      <c r="V13" s="6">
        <v>12</v>
      </c>
      <c r="W13" s="7">
        <v>2292940</v>
      </c>
      <c r="X13" s="6"/>
      <c r="Y13" s="7"/>
      <c r="Z13" s="6">
        <v>7</v>
      </c>
      <c r="AA13" s="7">
        <v>2240850</v>
      </c>
      <c r="AB13" s="6">
        <v>6</v>
      </c>
      <c r="AC13" s="7">
        <v>1139960</v>
      </c>
      <c r="AD13" s="6"/>
      <c r="AE13" s="7"/>
      <c r="AF13" s="6">
        <v>4</v>
      </c>
      <c r="AG13" s="7">
        <v>866800</v>
      </c>
    </row>
    <row r="14" spans="1:33" ht="21" thickBot="1" x14ac:dyDescent="0.3">
      <c r="A14" s="52">
        <v>46123</v>
      </c>
      <c r="B14" s="55">
        <f t="shared" si="1"/>
        <v>31</v>
      </c>
      <c r="C14" s="56">
        <f t="shared" si="0"/>
        <v>7945520</v>
      </c>
      <c r="D14" s="6">
        <v>4</v>
      </c>
      <c r="E14" s="7">
        <v>1280240</v>
      </c>
      <c r="F14" s="6"/>
      <c r="G14" s="7"/>
      <c r="H14" s="6">
        <v>12</v>
      </c>
      <c r="I14" s="7">
        <v>2808310</v>
      </c>
      <c r="J14" s="6"/>
      <c r="K14" s="7"/>
      <c r="L14" s="6"/>
      <c r="M14" s="2"/>
      <c r="N14" s="6">
        <v>3</v>
      </c>
      <c r="O14" s="67">
        <v>653320</v>
      </c>
      <c r="P14" s="6">
        <v>3</v>
      </c>
      <c r="Q14" s="7">
        <v>735420</v>
      </c>
      <c r="R14" s="6"/>
      <c r="S14" s="7"/>
      <c r="T14" s="6">
        <v>4</v>
      </c>
      <c r="U14" s="7">
        <v>779060</v>
      </c>
      <c r="V14" s="6">
        <v>1</v>
      </c>
      <c r="W14" s="7">
        <v>304210</v>
      </c>
      <c r="X14" s="6"/>
      <c r="Y14" s="7"/>
      <c r="Z14" s="6">
        <v>2</v>
      </c>
      <c r="AA14" s="7">
        <v>776200</v>
      </c>
      <c r="AB14" s="6">
        <v>2</v>
      </c>
      <c r="AC14" s="7">
        <v>608760</v>
      </c>
      <c r="AD14" s="6"/>
      <c r="AE14" s="7"/>
      <c r="AF14" s="6"/>
      <c r="AG14" s="7"/>
    </row>
    <row r="15" spans="1:33" ht="21" thickBot="1" x14ac:dyDescent="0.3">
      <c r="A15" s="52">
        <v>46124</v>
      </c>
      <c r="B15" s="55">
        <f t="shared" si="1"/>
        <v>39</v>
      </c>
      <c r="C15" s="56">
        <f t="shared" si="0"/>
        <v>8735370</v>
      </c>
      <c r="D15" s="6">
        <v>1</v>
      </c>
      <c r="E15" s="7">
        <v>188820</v>
      </c>
      <c r="F15" s="6"/>
      <c r="G15" s="7"/>
      <c r="H15" s="6">
        <v>14</v>
      </c>
      <c r="I15" s="7">
        <v>3133300</v>
      </c>
      <c r="J15" s="6"/>
      <c r="K15" s="7"/>
      <c r="L15" s="6"/>
      <c r="M15" s="7"/>
      <c r="N15" s="6">
        <v>2</v>
      </c>
      <c r="O15" s="7">
        <v>740380</v>
      </c>
      <c r="P15" s="6"/>
      <c r="Q15" s="7"/>
      <c r="R15" s="6"/>
      <c r="S15" s="7"/>
      <c r="T15" s="6">
        <v>10</v>
      </c>
      <c r="U15" s="7">
        <v>2204260</v>
      </c>
      <c r="V15" s="6">
        <v>3</v>
      </c>
      <c r="W15" s="7">
        <v>807960</v>
      </c>
      <c r="X15" s="6"/>
      <c r="Y15" s="7"/>
      <c r="Z15" s="6"/>
      <c r="AA15" s="7"/>
      <c r="AB15" s="6"/>
      <c r="AC15" s="7"/>
      <c r="AD15" s="6">
        <v>9</v>
      </c>
      <c r="AE15" s="7">
        <v>1660650</v>
      </c>
      <c r="AF15" s="6"/>
      <c r="AG15" s="7"/>
    </row>
    <row r="16" spans="1:33" ht="21" thickBot="1" x14ac:dyDescent="0.3">
      <c r="A16" s="52">
        <v>46125</v>
      </c>
      <c r="B16" s="55">
        <f t="shared" si="1"/>
        <v>72</v>
      </c>
      <c r="C16" s="56">
        <f t="shared" si="0"/>
        <v>16584410</v>
      </c>
      <c r="D16" s="6">
        <v>4</v>
      </c>
      <c r="E16" s="7">
        <v>965580</v>
      </c>
      <c r="F16" s="6">
        <v>6</v>
      </c>
      <c r="G16" s="7">
        <v>1377680</v>
      </c>
      <c r="H16" s="6">
        <v>29</v>
      </c>
      <c r="I16" s="7">
        <v>7248740</v>
      </c>
      <c r="J16" s="6"/>
      <c r="K16" s="7"/>
      <c r="L16" s="6">
        <v>1</v>
      </c>
      <c r="M16" s="7">
        <v>185100</v>
      </c>
      <c r="N16" s="6">
        <v>2</v>
      </c>
      <c r="O16" s="7">
        <v>517220</v>
      </c>
      <c r="P16" s="6">
        <v>3</v>
      </c>
      <c r="Q16" s="7">
        <v>662750</v>
      </c>
      <c r="R16" s="6"/>
      <c r="S16" s="7"/>
      <c r="T16" s="6">
        <v>7</v>
      </c>
      <c r="U16" s="7">
        <v>1228530</v>
      </c>
      <c r="V16" s="6">
        <v>10</v>
      </c>
      <c r="W16" s="7">
        <v>2402950</v>
      </c>
      <c r="X16" s="6"/>
      <c r="Y16" s="7"/>
      <c r="Z16" s="6">
        <v>1</v>
      </c>
      <c r="AA16" s="7">
        <v>157100</v>
      </c>
      <c r="AB16" s="6">
        <v>5</v>
      </c>
      <c r="AC16" s="7">
        <v>925500</v>
      </c>
      <c r="AD16" s="6">
        <v>4</v>
      </c>
      <c r="AE16" s="7">
        <v>913260</v>
      </c>
      <c r="AF16" s="6"/>
      <c r="AG16" s="7"/>
    </row>
    <row r="17" spans="1:33" ht="21" thickBot="1" x14ac:dyDescent="0.3">
      <c r="A17" s="52">
        <v>46126</v>
      </c>
      <c r="B17" s="55">
        <f t="shared" si="1"/>
        <v>104</v>
      </c>
      <c r="C17" s="56">
        <f t="shared" si="0"/>
        <v>25954550</v>
      </c>
      <c r="D17" s="6">
        <v>5</v>
      </c>
      <c r="E17" s="7">
        <v>927390</v>
      </c>
      <c r="F17" s="6"/>
      <c r="G17" s="7"/>
      <c r="H17" s="6">
        <v>37</v>
      </c>
      <c r="I17" s="7">
        <v>8468920</v>
      </c>
      <c r="J17" s="6"/>
      <c r="K17" s="7"/>
      <c r="L17" s="6">
        <v>50</v>
      </c>
      <c r="M17" s="7">
        <v>13903700</v>
      </c>
      <c r="N17" s="6"/>
      <c r="O17" s="7"/>
      <c r="P17" s="6"/>
      <c r="Q17" s="7"/>
      <c r="R17" s="6">
        <v>1</v>
      </c>
      <c r="S17" s="7">
        <v>192310</v>
      </c>
      <c r="T17" s="6">
        <v>2</v>
      </c>
      <c r="U17" s="7">
        <v>605510</v>
      </c>
      <c r="V17" s="6">
        <v>1</v>
      </c>
      <c r="W17" s="7">
        <v>216700</v>
      </c>
      <c r="X17" s="6"/>
      <c r="Y17" s="7"/>
      <c r="Z17" s="6">
        <v>4</v>
      </c>
      <c r="AA17" s="7">
        <v>885400</v>
      </c>
      <c r="AB17" s="6">
        <v>3</v>
      </c>
      <c r="AC17" s="7">
        <v>554880</v>
      </c>
      <c r="AD17" s="6">
        <v>1</v>
      </c>
      <c r="AE17" s="7">
        <v>199740</v>
      </c>
      <c r="AF17" s="6"/>
      <c r="AG17" s="7"/>
    </row>
    <row r="18" spans="1:33" ht="21" thickBot="1" x14ac:dyDescent="0.3">
      <c r="A18" s="52">
        <v>46127</v>
      </c>
      <c r="B18" s="55">
        <f t="shared" si="1"/>
        <v>120</v>
      </c>
      <c r="C18" s="56">
        <f t="shared" si="0"/>
        <v>26447910</v>
      </c>
      <c r="D18" s="6">
        <v>12</v>
      </c>
      <c r="E18" s="7">
        <v>2758150</v>
      </c>
      <c r="F18" s="6"/>
      <c r="G18" s="7"/>
      <c r="H18" s="6">
        <v>16</v>
      </c>
      <c r="I18" s="7">
        <v>3227460</v>
      </c>
      <c r="J18" s="6"/>
      <c r="K18" s="7"/>
      <c r="L18" s="6">
        <v>5</v>
      </c>
      <c r="M18" s="7">
        <v>1650400</v>
      </c>
      <c r="N18" s="6"/>
      <c r="O18" s="7"/>
      <c r="P18" s="6">
        <v>4</v>
      </c>
      <c r="Q18" s="7">
        <v>994030</v>
      </c>
      <c r="R18" s="6">
        <v>1</v>
      </c>
      <c r="S18" s="7">
        <v>202920</v>
      </c>
      <c r="T18" s="6">
        <v>7</v>
      </c>
      <c r="U18" s="7">
        <v>1198840</v>
      </c>
      <c r="V18" s="6">
        <v>2</v>
      </c>
      <c r="W18" s="7">
        <v>282820</v>
      </c>
      <c r="X18" s="6"/>
      <c r="Y18" s="7"/>
      <c r="Z18" s="6">
        <v>10</v>
      </c>
      <c r="AA18" s="7">
        <v>1688750</v>
      </c>
      <c r="AB18" s="6">
        <v>5</v>
      </c>
      <c r="AC18" s="7">
        <v>1606930</v>
      </c>
      <c r="AD18" s="6">
        <v>52</v>
      </c>
      <c r="AE18" s="7">
        <v>11313530</v>
      </c>
      <c r="AF18" s="6">
        <v>6</v>
      </c>
      <c r="AG18" s="7">
        <v>1524080</v>
      </c>
    </row>
    <row r="19" spans="1:33" ht="21" thickBot="1" x14ac:dyDescent="0.3">
      <c r="A19" s="52">
        <v>46128</v>
      </c>
      <c r="B19" s="55">
        <f t="shared" si="1"/>
        <v>127</v>
      </c>
      <c r="C19" s="56">
        <f t="shared" si="0"/>
        <v>33056760</v>
      </c>
      <c r="D19" s="6">
        <v>7</v>
      </c>
      <c r="E19" s="7">
        <v>5182150</v>
      </c>
      <c r="F19" s="6">
        <v>4</v>
      </c>
      <c r="G19" s="7">
        <v>1041640</v>
      </c>
      <c r="H19" s="6">
        <v>23</v>
      </c>
      <c r="I19" s="7">
        <v>4630670</v>
      </c>
      <c r="J19" s="6"/>
      <c r="K19" s="67"/>
      <c r="L19" s="6">
        <v>49</v>
      </c>
      <c r="M19" s="7">
        <v>12184370</v>
      </c>
      <c r="N19" s="6">
        <v>2</v>
      </c>
      <c r="O19" s="67">
        <v>443710</v>
      </c>
      <c r="P19" s="6"/>
      <c r="Q19" s="7"/>
      <c r="R19" s="6"/>
      <c r="S19" s="7"/>
      <c r="T19" s="6">
        <v>8</v>
      </c>
      <c r="U19" s="7">
        <v>1588330</v>
      </c>
      <c r="V19" s="6">
        <v>6</v>
      </c>
      <c r="W19" s="7">
        <v>1165940</v>
      </c>
      <c r="X19" s="6"/>
      <c r="Y19" s="7"/>
      <c r="Z19" s="6">
        <v>7</v>
      </c>
      <c r="AA19" s="7">
        <v>1733660</v>
      </c>
      <c r="AB19" s="6">
        <v>9</v>
      </c>
      <c r="AC19" s="7">
        <v>1972560</v>
      </c>
      <c r="AD19" s="6">
        <v>11</v>
      </c>
      <c r="AE19" s="7">
        <v>2692680</v>
      </c>
      <c r="AF19" s="6">
        <v>1</v>
      </c>
      <c r="AG19" s="7">
        <v>421050</v>
      </c>
    </row>
    <row r="20" spans="1:33" ht="21" thickBot="1" x14ac:dyDescent="0.3">
      <c r="A20" s="52">
        <v>46129</v>
      </c>
      <c r="B20" s="55">
        <f t="shared" si="1"/>
        <v>119</v>
      </c>
      <c r="C20" s="56">
        <f t="shared" si="0"/>
        <v>28094210</v>
      </c>
      <c r="D20" s="6">
        <v>6</v>
      </c>
      <c r="E20" s="7">
        <v>1192520</v>
      </c>
      <c r="F20" s="6"/>
      <c r="G20" s="7"/>
      <c r="H20" s="6">
        <v>85</v>
      </c>
      <c r="I20" s="7">
        <v>19944610</v>
      </c>
      <c r="J20" s="6"/>
      <c r="K20" s="7"/>
      <c r="L20" s="6">
        <v>10</v>
      </c>
      <c r="M20" s="7">
        <v>2354620</v>
      </c>
      <c r="N20" s="6"/>
      <c r="O20" s="7"/>
      <c r="P20" s="6"/>
      <c r="Q20" s="7"/>
      <c r="R20" s="6"/>
      <c r="S20" s="7"/>
      <c r="T20" s="6">
        <v>6</v>
      </c>
      <c r="U20" s="7">
        <v>1592250</v>
      </c>
      <c r="V20" s="6">
        <v>11</v>
      </c>
      <c r="W20" s="7">
        <v>2807290</v>
      </c>
      <c r="X20" s="6"/>
      <c r="Y20" s="7"/>
      <c r="Z20" s="6"/>
      <c r="AA20" s="7"/>
      <c r="AB20" s="6">
        <v>1</v>
      </c>
      <c r="AC20" s="7">
        <v>202920</v>
      </c>
      <c r="AD20" s="6"/>
      <c r="AE20" s="7"/>
      <c r="AF20" s="6"/>
      <c r="AG20" s="7"/>
    </row>
    <row r="21" spans="1:33" ht="21" thickBot="1" x14ac:dyDescent="0.3">
      <c r="A21" s="52">
        <v>46130</v>
      </c>
      <c r="B21" s="55">
        <f t="shared" si="1"/>
        <v>60</v>
      </c>
      <c r="C21" s="56">
        <f t="shared" si="0"/>
        <v>12475590</v>
      </c>
      <c r="D21" s="6">
        <v>10</v>
      </c>
      <c r="E21" s="7">
        <v>2251500</v>
      </c>
      <c r="F21" s="6"/>
      <c r="G21" s="7"/>
      <c r="H21" s="6">
        <v>25</v>
      </c>
      <c r="I21" s="7">
        <v>4931840</v>
      </c>
      <c r="J21" s="6">
        <v>4</v>
      </c>
      <c r="K21" s="7">
        <v>971760</v>
      </c>
      <c r="L21" s="6">
        <v>2</v>
      </c>
      <c r="M21" s="7">
        <v>460470</v>
      </c>
      <c r="N21" s="6"/>
      <c r="O21" s="7"/>
      <c r="P21" s="6"/>
      <c r="Q21" s="7"/>
      <c r="R21" s="6">
        <v>2</v>
      </c>
      <c r="S21" s="7">
        <v>314200</v>
      </c>
      <c r="T21" s="6">
        <v>7</v>
      </c>
      <c r="U21" s="7">
        <v>1678660</v>
      </c>
      <c r="V21" s="6">
        <v>3</v>
      </c>
      <c r="W21" s="7">
        <v>548820</v>
      </c>
      <c r="X21" s="6"/>
      <c r="Y21" s="7"/>
      <c r="Z21" s="6">
        <v>2</v>
      </c>
      <c r="AA21" s="7">
        <v>314200</v>
      </c>
      <c r="AB21" s="6">
        <v>2</v>
      </c>
      <c r="AC21" s="7">
        <v>369920</v>
      </c>
      <c r="AD21" s="6">
        <v>2</v>
      </c>
      <c r="AE21" s="7">
        <v>431300</v>
      </c>
      <c r="AF21" s="6">
        <v>1</v>
      </c>
      <c r="AG21" s="7">
        <v>202920</v>
      </c>
    </row>
    <row r="22" spans="1:33" ht="21" thickBot="1" x14ac:dyDescent="0.3">
      <c r="A22" s="52">
        <v>46131</v>
      </c>
      <c r="B22" s="55">
        <f t="shared" si="1"/>
        <v>27</v>
      </c>
      <c r="C22" s="56">
        <f t="shared" si="0"/>
        <v>5532510</v>
      </c>
      <c r="D22" s="6">
        <v>1</v>
      </c>
      <c r="E22" s="7">
        <v>392460</v>
      </c>
      <c r="F22" s="6">
        <v>1</v>
      </c>
      <c r="G22" s="7">
        <v>171090</v>
      </c>
      <c r="H22" s="6"/>
      <c r="I22" s="7"/>
      <c r="J22" s="6"/>
      <c r="K22" s="7"/>
      <c r="L22" s="6">
        <v>9</v>
      </c>
      <c r="M22" s="7">
        <v>1918760</v>
      </c>
      <c r="N22" s="6"/>
      <c r="O22" s="7"/>
      <c r="P22" s="6"/>
      <c r="Q22" s="7"/>
      <c r="R22" s="6"/>
      <c r="S22" s="7"/>
      <c r="T22" s="6">
        <v>11</v>
      </c>
      <c r="U22" s="7">
        <v>2038630</v>
      </c>
      <c r="V22" s="6"/>
      <c r="W22" s="7"/>
      <c r="X22" s="6"/>
      <c r="Y22" s="7"/>
      <c r="Z22" s="6">
        <v>2</v>
      </c>
      <c r="AA22" s="7">
        <v>462000</v>
      </c>
      <c r="AB22" s="6"/>
      <c r="AC22" s="7"/>
      <c r="AD22" s="6">
        <v>3</v>
      </c>
      <c r="AE22" s="7">
        <v>549570</v>
      </c>
      <c r="AF22" s="6"/>
      <c r="AG22" s="7"/>
    </row>
    <row r="23" spans="1:33" ht="21" thickBot="1" x14ac:dyDescent="0.3">
      <c r="A23" s="52">
        <v>46132</v>
      </c>
      <c r="B23" s="55">
        <f t="shared" si="1"/>
        <v>66</v>
      </c>
      <c r="C23" s="56">
        <f t="shared" si="0"/>
        <v>13748520</v>
      </c>
      <c r="D23" s="6">
        <v>2</v>
      </c>
      <c r="E23" s="7">
        <v>867010</v>
      </c>
      <c r="F23" s="6">
        <v>2</v>
      </c>
      <c r="G23" s="7">
        <v>405520</v>
      </c>
      <c r="H23" s="6">
        <v>1</v>
      </c>
      <c r="I23" s="7">
        <v>329000</v>
      </c>
      <c r="J23" s="6"/>
      <c r="K23" s="7"/>
      <c r="L23" s="6">
        <v>30</v>
      </c>
      <c r="M23" s="7">
        <v>5539270</v>
      </c>
      <c r="N23" s="6">
        <v>3</v>
      </c>
      <c r="O23" s="7">
        <v>804490</v>
      </c>
      <c r="P23" s="6"/>
      <c r="Q23" s="7"/>
      <c r="R23" s="6">
        <v>5</v>
      </c>
      <c r="S23" s="7">
        <v>849050</v>
      </c>
      <c r="T23" s="6">
        <v>8</v>
      </c>
      <c r="U23" s="7">
        <v>1505710</v>
      </c>
      <c r="V23" s="6">
        <v>6</v>
      </c>
      <c r="W23" s="7">
        <v>1173020</v>
      </c>
      <c r="X23" s="6"/>
      <c r="Y23" s="7"/>
      <c r="Z23" s="6">
        <v>5</v>
      </c>
      <c r="AA23" s="7">
        <v>1506580</v>
      </c>
      <c r="AB23" s="6">
        <v>4</v>
      </c>
      <c r="AC23" s="7">
        <v>768870</v>
      </c>
      <c r="AD23" s="6"/>
      <c r="AE23" s="7"/>
      <c r="AF23" s="6"/>
      <c r="AG23" s="7"/>
    </row>
    <row r="24" spans="1:33" ht="21" thickBot="1" x14ac:dyDescent="0.3">
      <c r="A24" s="52">
        <v>46133</v>
      </c>
      <c r="B24" s="55">
        <f t="shared" si="1"/>
        <v>88</v>
      </c>
      <c r="C24" s="56">
        <f t="shared" si="0"/>
        <v>27048270</v>
      </c>
      <c r="D24" s="6">
        <v>4</v>
      </c>
      <c r="E24" s="7">
        <v>1746260</v>
      </c>
      <c r="F24" s="6">
        <v>11</v>
      </c>
      <c r="G24" s="7">
        <v>2246420</v>
      </c>
      <c r="H24" s="6">
        <v>34</v>
      </c>
      <c r="I24" s="7">
        <v>9474460</v>
      </c>
      <c r="J24" s="6">
        <v>1</v>
      </c>
      <c r="K24" s="7">
        <v>429000</v>
      </c>
      <c r="L24" s="6">
        <v>11</v>
      </c>
      <c r="M24" s="7">
        <v>4210060</v>
      </c>
      <c r="N24" s="6"/>
      <c r="O24" s="7"/>
      <c r="P24" s="6">
        <v>4</v>
      </c>
      <c r="Q24" s="7">
        <v>4264620</v>
      </c>
      <c r="R24" s="6">
        <v>5</v>
      </c>
      <c r="S24" s="7">
        <v>764300</v>
      </c>
      <c r="T24" s="6">
        <v>6</v>
      </c>
      <c r="U24" s="7">
        <v>947530</v>
      </c>
      <c r="V24" s="6">
        <v>6</v>
      </c>
      <c r="W24" s="7">
        <v>1418160</v>
      </c>
      <c r="X24" s="6"/>
      <c r="Y24" s="7"/>
      <c r="Z24" s="6">
        <v>5</v>
      </c>
      <c r="AA24" s="7">
        <v>1155000</v>
      </c>
      <c r="AB24" s="6">
        <v>1</v>
      </c>
      <c r="AC24" s="7">
        <v>392460</v>
      </c>
      <c r="AD24" s="6"/>
      <c r="AE24" s="7"/>
      <c r="AF24" s="6"/>
      <c r="AG24" s="7"/>
    </row>
    <row r="25" spans="1:33" ht="21" thickBot="1" x14ac:dyDescent="0.3">
      <c r="A25" s="52">
        <v>46134</v>
      </c>
      <c r="B25" s="55">
        <f t="shared" si="1"/>
        <v>36</v>
      </c>
      <c r="C25" s="56">
        <f t="shared" si="0"/>
        <v>10529190</v>
      </c>
      <c r="D25" s="6">
        <v>3</v>
      </c>
      <c r="E25" s="7">
        <v>691750</v>
      </c>
      <c r="F25" s="6">
        <v>7</v>
      </c>
      <c r="G25" s="7">
        <v>2046050</v>
      </c>
      <c r="H25" s="6">
        <v>17</v>
      </c>
      <c r="I25" s="7">
        <v>6064390</v>
      </c>
      <c r="J25" s="6"/>
      <c r="K25" s="7"/>
      <c r="L25" s="6">
        <v>6</v>
      </c>
      <c r="M25" s="7">
        <v>1196190</v>
      </c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>
        <v>3</v>
      </c>
      <c r="AC25" s="7">
        <v>530810</v>
      </c>
      <c r="AD25" s="6"/>
      <c r="AE25" s="7"/>
      <c r="AF25" s="6"/>
      <c r="AG25" s="7"/>
    </row>
    <row r="26" spans="1:33" ht="21" thickBot="1" x14ac:dyDescent="0.3">
      <c r="A26" s="52">
        <v>46135</v>
      </c>
      <c r="B26" s="55">
        <f t="shared" si="1"/>
        <v>38</v>
      </c>
      <c r="C26" s="56">
        <f t="shared" si="0"/>
        <v>7291410</v>
      </c>
      <c r="D26" s="6">
        <v>4</v>
      </c>
      <c r="E26" s="7">
        <v>1106130</v>
      </c>
      <c r="F26" s="6">
        <v>2</v>
      </c>
      <c r="G26" s="7">
        <v>238260</v>
      </c>
      <c r="H26" s="6">
        <v>8</v>
      </c>
      <c r="I26" s="7">
        <v>1307640</v>
      </c>
      <c r="J26" s="6"/>
      <c r="K26" s="7"/>
      <c r="L26" s="6">
        <v>4</v>
      </c>
      <c r="M26" s="7">
        <v>653820</v>
      </c>
      <c r="N26" s="6">
        <v>2</v>
      </c>
      <c r="O26" s="7">
        <v>517220</v>
      </c>
      <c r="P26" s="6"/>
      <c r="Q26" s="7"/>
      <c r="R26" s="6"/>
      <c r="S26" s="7"/>
      <c r="T26" s="6">
        <v>3</v>
      </c>
      <c r="U26" s="7">
        <v>589690</v>
      </c>
      <c r="V26" s="6"/>
      <c r="W26" s="7"/>
      <c r="X26" s="6"/>
      <c r="Y26" s="7"/>
      <c r="Z26" s="6">
        <v>4</v>
      </c>
      <c r="AA26" s="7">
        <v>776200</v>
      </c>
      <c r="AB26" s="6">
        <v>11</v>
      </c>
      <c r="AC26" s="7">
        <v>2102450</v>
      </c>
      <c r="AD26" s="6"/>
      <c r="AE26" s="7"/>
      <c r="AF26" s="6"/>
      <c r="AG26" s="7"/>
    </row>
    <row r="27" spans="1:33" ht="21" thickBot="1" x14ac:dyDescent="0.3">
      <c r="A27" s="52">
        <v>46136</v>
      </c>
      <c r="B27" s="55">
        <f t="shared" si="1"/>
        <v>88</v>
      </c>
      <c r="C27" s="56">
        <f t="shared" si="0"/>
        <v>20622730</v>
      </c>
      <c r="D27" s="6">
        <v>3</v>
      </c>
      <c r="E27" s="7">
        <v>743100</v>
      </c>
      <c r="F27" s="6">
        <v>5</v>
      </c>
      <c r="G27" s="7">
        <v>1238380</v>
      </c>
      <c r="H27" s="6">
        <v>40</v>
      </c>
      <c r="I27" s="7">
        <v>8452410</v>
      </c>
      <c r="J27" s="6"/>
      <c r="K27" s="7"/>
      <c r="L27" s="6">
        <v>26</v>
      </c>
      <c r="M27" s="7">
        <v>6960340</v>
      </c>
      <c r="N27" s="6">
        <v>8</v>
      </c>
      <c r="O27" s="7">
        <v>1846120</v>
      </c>
      <c r="P27" s="6"/>
      <c r="Q27" s="7"/>
      <c r="R27" s="6">
        <v>3</v>
      </c>
      <c r="S27" s="7">
        <v>735420</v>
      </c>
      <c r="T27" s="6"/>
      <c r="U27" s="7"/>
      <c r="V27" s="6"/>
      <c r="W27" s="7"/>
      <c r="X27" s="6"/>
      <c r="Y27" s="7"/>
      <c r="Z27" s="6">
        <v>2</v>
      </c>
      <c r="AA27" s="7">
        <v>462000</v>
      </c>
      <c r="AB27" s="6">
        <v>1</v>
      </c>
      <c r="AC27" s="7">
        <v>184960</v>
      </c>
      <c r="AD27" s="6"/>
      <c r="AE27" s="7"/>
      <c r="AF27" s="6"/>
      <c r="AG27" s="7"/>
    </row>
    <row r="28" spans="1:33" ht="21" thickBot="1" x14ac:dyDescent="0.3">
      <c r="A28" s="52">
        <v>46137</v>
      </c>
      <c r="B28" s="55">
        <f t="shared" si="1"/>
        <v>40</v>
      </c>
      <c r="C28" s="56">
        <f t="shared" si="0"/>
        <v>9179790</v>
      </c>
      <c r="D28" s="6">
        <v>3</v>
      </c>
      <c r="E28" s="7">
        <v>1918220</v>
      </c>
      <c r="F28" s="6">
        <v>3</v>
      </c>
      <c r="G28" s="7">
        <v>470920</v>
      </c>
      <c r="H28" s="6">
        <v>18</v>
      </c>
      <c r="I28" s="7">
        <v>3874470</v>
      </c>
      <c r="J28" s="6"/>
      <c r="K28" s="67"/>
      <c r="L28" s="6">
        <v>3</v>
      </c>
      <c r="M28" s="7">
        <v>731250</v>
      </c>
      <c r="N28" s="6"/>
      <c r="O28" s="7"/>
      <c r="P28" s="6"/>
      <c r="Q28" s="7"/>
      <c r="R28" s="6">
        <v>1</v>
      </c>
      <c r="S28" s="7">
        <v>157100</v>
      </c>
      <c r="T28" s="6"/>
      <c r="U28" s="7"/>
      <c r="V28" s="6">
        <v>10</v>
      </c>
      <c r="W28" s="7">
        <v>1650270</v>
      </c>
      <c r="X28" s="6"/>
      <c r="Y28" s="7"/>
      <c r="Z28" s="6"/>
      <c r="AA28" s="7"/>
      <c r="AB28" s="6"/>
      <c r="AC28" s="7"/>
      <c r="AD28" s="6">
        <v>2</v>
      </c>
      <c r="AE28" s="7">
        <v>377560</v>
      </c>
      <c r="AF28" s="6"/>
      <c r="AG28" s="7"/>
    </row>
    <row r="29" spans="1:33" ht="21" thickBot="1" x14ac:dyDescent="0.3">
      <c r="A29" s="52">
        <v>46138</v>
      </c>
      <c r="B29" s="55">
        <f t="shared" si="1"/>
        <v>27</v>
      </c>
      <c r="C29" s="56">
        <f t="shared" si="0"/>
        <v>8003770</v>
      </c>
      <c r="D29" s="6">
        <v>4</v>
      </c>
      <c r="E29" s="7">
        <v>1001240</v>
      </c>
      <c r="F29" s="6"/>
      <c r="G29" s="7"/>
      <c r="H29" s="6">
        <v>9</v>
      </c>
      <c r="I29" s="7">
        <v>2641630</v>
      </c>
      <c r="J29" s="6"/>
      <c r="K29" s="7"/>
      <c r="L29" s="6">
        <v>9</v>
      </c>
      <c r="M29" s="7">
        <v>1990630</v>
      </c>
      <c r="N29" s="6">
        <v>2</v>
      </c>
      <c r="O29" s="7">
        <v>1208060</v>
      </c>
      <c r="P29" s="6"/>
      <c r="Q29" s="7"/>
      <c r="R29" s="6"/>
      <c r="S29" s="7"/>
      <c r="T29" s="6">
        <v>2</v>
      </c>
      <c r="U29" s="7">
        <v>858000</v>
      </c>
      <c r="V29" s="6">
        <v>1</v>
      </c>
      <c r="W29" s="7">
        <v>304210</v>
      </c>
      <c r="X29" s="6"/>
      <c r="Y29" s="7"/>
      <c r="Z29" s="6"/>
      <c r="AA29" s="7"/>
      <c r="AB29" s="6"/>
      <c r="AC29" s="7"/>
      <c r="AD29" s="6"/>
      <c r="AE29" s="7"/>
      <c r="AF29" s="6"/>
      <c r="AG29" s="7"/>
    </row>
    <row r="30" spans="1:33" ht="21" thickBot="1" x14ac:dyDescent="0.3">
      <c r="A30" s="52">
        <v>46139</v>
      </c>
      <c r="B30" s="55">
        <f t="shared" si="1"/>
        <v>50</v>
      </c>
      <c r="C30" s="56">
        <f t="shared" si="0"/>
        <v>13709590</v>
      </c>
      <c r="D30" s="6">
        <v>1</v>
      </c>
      <c r="E30" s="7">
        <v>177990</v>
      </c>
      <c r="F30" s="6"/>
      <c r="G30" s="7"/>
      <c r="H30" s="6">
        <v>21</v>
      </c>
      <c r="I30" s="7">
        <v>3663310</v>
      </c>
      <c r="J30" s="6">
        <v>1</v>
      </c>
      <c r="K30" s="7">
        <v>246550</v>
      </c>
      <c r="L30" s="6">
        <v>17</v>
      </c>
      <c r="M30" s="7">
        <v>4061040</v>
      </c>
      <c r="N30" s="6"/>
      <c r="O30" s="7"/>
      <c r="P30" s="6">
        <v>4</v>
      </c>
      <c r="Q30" s="7">
        <v>4232810</v>
      </c>
      <c r="R30" s="6"/>
      <c r="S30" s="7"/>
      <c r="T30" s="6"/>
      <c r="U30" s="7"/>
      <c r="V30" s="6"/>
      <c r="W30" s="7"/>
      <c r="X30" s="6"/>
      <c r="Y30" s="7"/>
      <c r="Z30" s="6"/>
      <c r="AA30" s="7"/>
      <c r="AB30" s="6">
        <v>6</v>
      </c>
      <c r="AC30" s="7">
        <v>1327890</v>
      </c>
      <c r="AD30" s="6"/>
      <c r="AE30" s="7"/>
      <c r="AF30" s="6"/>
      <c r="AG30" s="7"/>
    </row>
    <row r="31" spans="1:33" ht="21" thickBot="1" x14ac:dyDescent="0.3">
      <c r="A31" s="52">
        <v>46140</v>
      </c>
      <c r="B31" s="55">
        <f t="shared" si="1"/>
        <v>82</v>
      </c>
      <c r="C31" s="56">
        <f t="shared" si="0"/>
        <v>19416350</v>
      </c>
      <c r="D31" s="6">
        <v>3</v>
      </c>
      <c r="E31" s="7">
        <v>586520</v>
      </c>
      <c r="F31" s="6"/>
      <c r="G31" s="7"/>
      <c r="H31" s="6">
        <v>44</v>
      </c>
      <c r="I31" s="7">
        <v>11246470</v>
      </c>
      <c r="J31" s="6"/>
      <c r="K31" s="7"/>
      <c r="L31" s="6">
        <v>7</v>
      </c>
      <c r="M31" s="7">
        <v>1333680</v>
      </c>
      <c r="N31" s="6">
        <v>5</v>
      </c>
      <c r="O31" s="7">
        <v>1026060</v>
      </c>
      <c r="P31" s="6"/>
      <c r="Q31" s="7"/>
      <c r="R31" s="6"/>
      <c r="S31" s="7"/>
      <c r="T31" s="6">
        <v>13</v>
      </c>
      <c r="U31" s="7">
        <v>2579570</v>
      </c>
      <c r="V31" s="6">
        <v>6</v>
      </c>
      <c r="W31" s="7">
        <v>1631190</v>
      </c>
      <c r="X31" s="6"/>
      <c r="Y31" s="7"/>
      <c r="Z31" s="6">
        <v>2</v>
      </c>
      <c r="AA31" s="7">
        <v>579460</v>
      </c>
      <c r="AB31" s="6">
        <v>1</v>
      </c>
      <c r="AC31" s="7">
        <v>216700</v>
      </c>
      <c r="AD31" s="6"/>
      <c r="AE31" s="7"/>
      <c r="AF31" s="6">
        <v>1</v>
      </c>
      <c r="AG31" s="7">
        <v>216700</v>
      </c>
    </row>
    <row r="32" spans="1:33" ht="21" thickBot="1" x14ac:dyDescent="0.3">
      <c r="A32" s="52">
        <v>46141</v>
      </c>
      <c r="B32" s="55">
        <f t="shared" si="1"/>
        <v>51</v>
      </c>
      <c r="C32" s="56">
        <f t="shared" si="0"/>
        <v>13842190</v>
      </c>
      <c r="D32" s="6">
        <v>10</v>
      </c>
      <c r="E32" s="7">
        <v>4882490</v>
      </c>
      <c r="F32" s="6"/>
      <c r="G32" s="7"/>
      <c r="H32" s="6">
        <v>18</v>
      </c>
      <c r="I32" s="7">
        <v>4236260</v>
      </c>
      <c r="J32" s="6"/>
      <c r="K32" s="7"/>
      <c r="L32" s="6">
        <v>6</v>
      </c>
      <c r="M32" s="7">
        <v>1358410</v>
      </c>
      <c r="N32" s="6"/>
      <c r="O32" s="7"/>
      <c r="P32" s="6"/>
      <c r="Q32" s="7"/>
      <c r="R32" s="6">
        <v>2</v>
      </c>
      <c r="S32" s="7">
        <v>421320</v>
      </c>
      <c r="T32" s="6"/>
      <c r="U32" s="7"/>
      <c r="V32" s="6">
        <v>14</v>
      </c>
      <c r="W32" s="7">
        <v>2488710</v>
      </c>
      <c r="X32" s="6"/>
      <c r="Y32" s="7"/>
      <c r="Z32" s="6"/>
      <c r="AA32" s="7"/>
      <c r="AB32" s="6"/>
      <c r="AC32" s="7"/>
      <c r="AD32" s="6">
        <v>1</v>
      </c>
      <c r="AE32" s="7">
        <v>455000</v>
      </c>
      <c r="AF32" s="6"/>
      <c r="AG32" s="7"/>
    </row>
    <row r="33" spans="1:33" ht="21" thickBot="1" x14ac:dyDescent="0.3">
      <c r="A33" s="52">
        <v>46142</v>
      </c>
      <c r="B33" s="55">
        <f t="shared" si="1"/>
        <v>117</v>
      </c>
      <c r="C33" s="56">
        <f t="shared" si="0"/>
        <v>25550420</v>
      </c>
      <c r="D33" s="6">
        <v>6</v>
      </c>
      <c r="E33" s="7">
        <v>1302990</v>
      </c>
      <c r="F33" s="6"/>
      <c r="G33" s="7"/>
      <c r="H33" s="6">
        <v>81</v>
      </c>
      <c r="I33" s="7">
        <v>16839210</v>
      </c>
      <c r="J33" s="6"/>
      <c r="K33" s="7"/>
      <c r="L33" s="6">
        <v>15</v>
      </c>
      <c r="M33" s="7">
        <v>3081870</v>
      </c>
      <c r="N33" s="6">
        <v>10</v>
      </c>
      <c r="O33" s="7">
        <v>3087180</v>
      </c>
      <c r="P33" s="6"/>
      <c r="Q33" s="7"/>
      <c r="R33" s="6">
        <v>4</v>
      </c>
      <c r="S33" s="7">
        <v>980560</v>
      </c>
      <c r="T33" s="6"/>
      <c r="U33" s="7"/>
      <c r="V33" s="6"/>
      <c r="W33" s="7"/>
      <c r="X33" s="6"/>
      <c r="Y33" s="7"/>
      <c r="Z33" s="6">
        <v>1</v>
      </c>
      <c r="AA33" s="7">
        <v>258610</v>
      </c>
      <c r="AB33" s="6"/>
      <c r="AC33" s="7"/>
      <c r="AD33" s="6"/>
      <c r="AE33" s="7"/>
      <c r="AF33" s="6"/>
      <c r="AG33" s="7"/>
    </row>
    <row r="34" spans="1:33" s="11" customFormat="1" ht="24" thickBot="1" x14ac:dyDescent="0.3">
      <c r="A34" s="53" t="s">
        <v>1</v>
      </c>
      <c r="B34" s="13">
        <f t="shared" ref="B34:C34" si="2">SUM(B4:B31)</f>
        <v>1988</v>
      </c>
      <c r="C34" s="35">
        <f t="shared" si="2"/>
        <v>481312610</v>
      </c>
      <c r="D34" s="13">
        <f>SUM(D4:D33)</f>
        <v>216</v>
      </c>
      <c r="E34" s="13">
        <f t="shared" ref="E34:AG34" si="3">SUM(E4:E33)</f>
        <v>63491570</v>
      </c>
      <c r="F34" s="13">
        <f>SUM(F4:F33)</f>
        <v>45</v>
      </c>
      <c r="G34" s="13">
        <f t="shared" si="3"/>
        <v>10159020</v>
      </c>
      <c r="H34" s="13">
        <f>SUM(H4:H33)</f>
        <v>678</v>
      </c>
      <c r="I34" s="13">
        <f t="shared" si="3"/>
        <v>154274360</v>
      </c>
      <c r="J34" s="13">
        <f>SUM(J4:J33)</f>
        <v>8</v>
      </c>
      <c r="K34" s="13">
        <f t="shared" si="3"/>
        <v>2140410</v>
      </c>
      <c r="L34" s="13">
        <f>SUM(L4:L33)</f>
        <v>344</v>
      </c>
      <c r="M34" s="13">
        <f t="shared" si="3"/>
        <v>82793410</v>
      </c>
      <c r="N34" s="13">
        <f>SUM(N4:N33)</f>
        <v>53</v>
      </c>
      <c r="O34" s="13">
        <f t="shared" si="3"/>
        <v>14185040</v>
      </c>
      <c r="P34" s="13">
        <f t="shared" si="3"/>
        <v>42</v>
      </c>
      <c r="Q34" s="13">
        <f t="shared" si="3"/>
        <v>17075050</v>
      </c>
      <c r="R34" s="13">
        <f t="shared" si="3"/>
        <v>43</v>
      </c>
      <c r="S34" s="13">
        <f t="shared" si="3"/>
        <v>8515850</v>
      </c>
      <c r="T34" s="13">
        <f t="shared" si="3"/>
        <v>160</v>
      </c>
      <c r="U34" s="13">
        <f t="shared" si="3"/>
        <v>34816240</v>
      </c>
      <c r="V34" s="13">
        <f t="shared" si="3"/>
        <v>142</v>
      </c>
      <c r="W34" s="13">
        <f t="shared" si="3"/>
        <v>39152570</v>
      </c>
      <c r="X34" s="13">
        <f t="shared" si="3"/>
        <v>0</v>
      </c>
      <c r="Y34" s="13">
        <f t="shared" si="3"/>
        <v>0</v>
      </c>
      <c r="Z34" s="13">
        <f t="shared" si="3"/>
        <v>105</v>
      </c>
      <c r="AA34" s="13">
        <f t="shared" si="3"/>
        <v>25415290</v>
      </c>
      <c r="AB34" s="13">
        <f t="shared" si="3"/>
        <v>100</v>
      </c>
      <c r="AC34" s="13">
        <f t="shared" si="3"/>
        <v>21612820</v>
      </c>
      <c r="AD34" s="13">
        <f t="shared" si="3"/>
        <v>186</v>
      </c>
      <c r="AE34" s="13">
        <f t="shared" si="3"/>
        <v>39046330</v>
      </c>
      <c r="AF34" s="13">
        <f t="shared" si="3"/>
        <v>34</v>
      </c>
      <c r="AG34" s="13">
        <f t="shared" si="3"/>
        <v>8027260</v>
      </c>
    </row>
    <row r="35" spans="1:3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B35" s="2"/>
      <c r="AC35" s="2"/>
      <c r="AD35" s="2"/>
      <c r="AE35" s="2"/>
      <c r="AF35" s="2"/>
      <c r="AG35" s="2"/>
    </row>
  </sheetData>
  <mergeCells count="18">
    <mergeCell ref="P2:Q2"/>
    <mergeCell ref="R2:S2"/>
    <mergeCell ref="AD2:AE2"/>
    <mergeCell ref="D1:AG1"/>
    <mergeCell ref="AF2:AG2"/>
    <mergeCell ref="Z2:AA2"/>
    <mergeCell ref="AB2:AC2"/>
    <mergeCell ref="T2:U2"/>
    <mergeCell ref="V2:W2"/>
    <mergeCell ref="X2:Y2"/>
    <mergeCell ref="L2:M2"/>
    <mergeCell ref="N2:O2"/>
    <mergeCell ref="F2:G2"/>
    <mergeCell ref="A1:A3"/>
    <mergeCell ref="B1:C2"/>
    <mergeCell ref="D2:E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zoomScale="70" zoomScaleNormal="70" workbookViewId="0">
      <selection activeCell="J4" sqref="J4"/>
    </sheetView>
  </sheetViews>
  <sheetFormatPr defaultRowHeight="18.75" x14ac:dyDescent="0.25"/>
  <cols>
    <col min="1" max="1" width="4.28515625" style="1" bestFit="1" customWidth="1"/>
    <col min="2" max="2" width="26.28515625" bestFit="1" customWidth="1"/>
    <col min="3" max="3" width="15.28515625" style="21" bestFit="1" customWidth="1"/>
    <col min="4" max="4" width="25.7109375" bestFit="1" customWidth="1"/>
  </cols>
  <sheetData>
    <row r="1" spans="1:4" ht="74.25" customHeight="1" x14ac:dyDescent="0.25">
      <c r="A1" s="94" t="s">
        <v>45</v>
      </c>
      <c r="B1" s="95"/>
      <c r="C1" s="95"/>
      <c r="D1" s="96"/>
    </row>
    <row r="2" spans="1:4" x14ac:dyDescent="0.25">
      <c r="A2" s="19" t="s">
        <v>28</v>
      </c>
      <c r="B2" s="19" t="s">
        <v>22</v>
      </c>
      <c r="C2" s="20" t="s">
        <v>3</v>
      </c>
      <c r="D2" s="20" t="s">
        <v>4</v>
      </c>
    </row>
    <row r="3" spans="1:4" s="17" customFormat="1" x14ac:dyDescent="0.25">
      <c r="A3" s="22">
        <v>1</v>
      </c>
      <c r="B3" s="15" t="s">
        <v>24</v>
      </c>
      <c r="C3" s="16">
        <f>Худудлар!H34</f>
        <v>678</v>
      </c>
      <c r="D3" s="16">
        <f>Худудлар!I34</f>
        <v>154274360</v>
      </c>
    </row>
    <row r="4" spans="1:4" s="17" customFormat="1" x14ac:dyDescent="0.25">
      <c r="A4" s="22">
        <v>2</v>
      </c>
      <c r="B4" s="15" t="s">
        <v>23</v>
      </c>
      <c r="C4" s="16">
        <f>Худудлар!D34</f>
        <v>216</v>
      </c>
      <c r="D4" s="16">
        <f>Худудлар!E34</f>
        <v>63491570</v>
      </c>
    </row>
    <row r="5" spans="1:4" s="17" customFormat="1" x14ac:dyDescent="0.25">
      <c r="A5" s="22">
        <v>3</v>
      </c>
      <c r="B5" s="15" t="s">
        <v>8</v>
      </c>
      <c r="C5" s="16">
        <f>Худудлар!L34</f>
        <v>344</v>
      </c>
      <c r="D5" s="16">
        <f>Худудлар!M34</f>
        <v>82793410</v>
      </c>
    </row>
    <row r="6" spans="1:4" s="17" customFormat="1" x14ac:dyDescent="0.25">
      <c r="A6" s="22">
        <v>4</v>
      </c>
      <c r="B6" s="15" t="s">
        <v>15</v>
      </c>
      <c r="C6" s="16">
        <f>Худудлар!Z34</f>
        <v>105</v>
      </c>
      <c r="D6" s="16">
        <f>Худудлар!AA34</f>
        <v>25415290</v>
      </c>
    </row>
    <row r="7" spans="1:4" s="17" customFormat="1" x14ac:dyDescent="0.25">
      <c r="A7" s="22">
        <v>5</v>
      </c>
      <c r="B7" s="15" t="s">
        <v>17</v>
      </c>
      <c r="C7" s="16">
        <f>Худудлар!AD34</f>
        <v>186</v>
      </c>
      <c r="D7" s="16">
        <f>Худудлар!AE34</f>
        <v>39046330</v>
      </c>
    </row>
    <row r="8" spans="1:4" s="17" customFormat="1" x14ac:dyDescent="0.25">
      <c r="A8" s="22">
        <v>6</v>
      </c>
      <c r="B8" s="15" t="s">
        <v>12</v>
      </c>
      <c r="C8" s="16">
        <f>Худудлар!T34</f>
        <v>160</v>
      </c>
      <c r="D8" s="16">
        <f>Худудлар!U34</f>
        <v>34816240</v>
      </c>
    </row>
    <row r="9" spans="1:4" s="17" customFormat="1" x14ac:dyDescent="0.25">
      <c r="A9" s="22">
        <v>7</v>
      </c>
      <c r="B9" s="15" t="s">
        <v>11</v>
      </c>
      <c r="C9" s="16">
        <f>Худудлар!R34</f>
        <v>43</v>
      </c>
      <c r="D9" s="16">
        <f>Худудлар!S34</f>
        <v>8515850</v>
      </c>
    </row>
    <row r="10" spans="1:4" s="17" customFormat="1" x14ac:dyDescent="0.25">
      <c r="A10" s="22">
        <v>8</v>
      </c>
      <c r="B10" s="15" t="s">
        <v>18</v>
      </c>
      <c r="C10" s="16">
        <f>Худудлар!AF34</f>
        <v>34</v>
      </c>
      <c r="D10" s="16">
        <f>Худудлар!AG34</f>
        <v>8027260</v>
      </c>
    </row>
    <row r="11" spans="1:4" s="17" customFormat="1" x14ac:dyDescent="0.25">
      <c r="A11" s="22">
        <v>9</v>
      </c>
      <c r="B11" s="15" t="s">
        <v>27</v>
      </c>
      <c r="C11" s="16">
        <f>Худудлар!V34</f>
        <v>142</v>
      </c>
      <c r="D11" s="16">
        <f>Худудлар!W34</f>
        <v>39152570</v>
      </c>
    </row>
    <row r="12" spans="1:4" s="17" customFormat="1" x14ac:dyDescent="0.25">
      <c r="A12" s="22">
        <v>10</v>
      </c>
      <c r="B12" s="15" t="s">
        <v>16</v>
      </c>
      <c r="C12" s="16">
        <f>Худудлар!AB34</f>
        <v>100</v>
      </c>
      <c r="D12" s="16">
        <f>Худудлар!AC34</f>
        <v>21612820</v>
      </c>
    </row>
    <row r="13" spans="1:4" s="17" customFormat="1" x14ac:dyDescent="0.25">
      <c r="A13" s="22">
        <v>11</v>
      </c>
      <c r="B13" s="15" t="s">
        <v>25</v>
      </c>
      <c r="C13" s="16">
        <f>Худудлар!P34</f>
        <v>42</v>
      </c>
      <c r="D13" s="16">
        <f>Худудлар!Q34</f>
        <v>17075050</v>
      </c>
    </row>
    <row r="14" spans="1:4" s="17" customFormat="1" x14ac:dyDescent="0.25">
      <c r="A14" s="22">
        <v>12</v>
      </c>
      <c r="B14" s="15" t="s">
        <v>21</v>
      </c>
      <c r="C14" s="16">
        <f>Худудлар!F34</f>
        <v>45</v>
      </c>
      <c r="D14" s="16">
        <f>Худудлар!G34</f>
        <v>10159020</v>
      </c>
    </row>
    <row r="15" spans="1:4" s="17" customFormat="1" x14ac:dyDescent="0.25">
      <c r="A15" s="22">
        <v>13</v>
      </c>
      <c r="B15" s="15" t="s">
        <v>7</v>
      </c>
      <c r="C15" s="16">
        <f>Худудлар!J34</f>
        <v>8</v>
      </c>
      <c r="D15" s="16">
        <f>Худудлар!K34</f>
        <v>2140410</v>
      </c>
    </row>
    <row r="16" spans="1:4" s="17" customFormat="1" x14ac:dyDescent="0.25">
      <c r="A16" s="22">
        <v>14</v>
      </c>
      <c r="B16" s="18" t="s">
        <v>9</v>
      </c>
      <c r="C16" s="16">
        <f>Худудлар!N34</f>
        <v>53</v>
      </c>
      <c r="D16" s="16">
        <f>Худудлар!O34</f>
        <v>14185040</v>
      </c>
    </row>
    <row r="17" spans="1:4" x14ac:dyDescent="0.25">
      <c r="A17" s="22">
        <v>15</v>
      </c>
      <c r="B17" s="34" t="s">
        <v>26</v>
      </c>
      <c r="C17" s="16">
        <f>Худудлар!X34</f>
        <v>0</v>
      </c>
      <c r="D17" s="16">
        <f>Худудлар!Y34</f>
        <v>0</v>
      </c>
    </row>
    <row r="18" spans="1:4" x14ac:dyDescent="0.25">
      <c r="A18" s="22"/>
      <c r="B18" s="34"/>
      <c r="C18" s="16"/>
      <c r="D18" s="16"/>
    </row>
    <row r="19" spans="1:4" ht="20.25" x14ac:dyDescent="0.3">
      <c r="A19" s="33" t="s">
        <v>29</v>
      </c>
      <c r="B19" s="33"/>
      <c r="C19" s="30">
        <f>SUM(C3:C17)</f>
        <v>2156</v>
      </c>
      <c r="D19" s="31">
        <f>SUM(D3:D17)</f>
        <v>520705220</v>
      </c>
    </row>
    <row r="20" spans="1:4" s="17" customFormat="1" ht="15" x14ac:dyDescent="0.25"/>
    <row r="21" spans="1:4" ht="73.5" customHeight="1" x14ac:dyDescent="0.25">
      <c r="A21" s="94" t="s">
        <v>44</v>
      </c>
      <c r="B21" s="95"/>
      <c r="C21" s="95"/>
      <c r="D21" s="96"/>
    </row>
    <row r="22" spans="1:4" ht="43.5" customHeight="1" x14ac:dyDescent="0.25">
      <c r="A22" s="19" t="s">
        <v>28</v>
      </c>
      <c r="B22" s="19" t="s">
        <v>22</v>
      </c>
      <c r="C22" s="20" t="s">
        <v>3</v>
      </c>
      <c r="D22" s="20" t="s">
        <v>4</v>
      </c>
    </row>
    <row r="23" spans="1:4" x14ac:dyDescent="0.25">
      <c r="A23" s="22">
        <v>1</v>
      </c>
      <c r="B23" s="15" t="s">
        <v>24</v>
      </c>
      <c r="C23" s="16">
        <f>Худудлар!H34</f>
        <v>678</v>
      </c>
      <c r="D23" s="16">
        <f>Худудлар!I34</f>
        <v>154274360</v>
      </c>
    </row>
    <row r="24" spans="1:4" x14ac:dyDescent="0.25">
      <c r="A24" s="22">
        <v>2</v>
      </c>
      <c r="B24" s="15" t="s">
        <v>23</v>
      </c>
      <c r="C24" s="16">
        <f>Худудлар!D34</f>
        <v>216</v>
      </c>
      <c r="D24" s="16">
        <f>Худудлар!E34</f>
        <v>63491570</v>
      </c>
    </row>
    <row r="25" spans="1:4" x14ac:dyDescent="0.25">
      <c r="A25" s="22">
        <v>3</v>
      </c>
      <c r="B25" s="15" t="s">
        <v>8</v>
      </c>
      <c r="C25" s="16">
        <f>Худудлар!L34</f>
        <v>344</v>
      </c>
      <c r="D25" s="16">
        <f>Худудлар!M34</f>
        <v>82793410</v>
      </c>
    </row>
    <row r="26" spans="1:4" x14ac:dyDescent="0.25">
      <c r="A26" s="22">
        <v>4</v>
      </c>
      <c r="B26" s="15" t="s">
        <v>17</v>
      </c>
      <c r="C26" s="16">
        <f>Худудлар!AD34</f>
        <v>186</v>
      </c>
      <c r="D26" s="16">
        <f>Худудлар!AE34</f>
        <v>39046330</v>
      </c>
    </row>
    <row r="27" spans="1:4" x14ac:dyDescent="0.25">
      <c r="A27" s="22">
        <v>5</v>
      </c>
      <c r="B27" s="15" t="s">
        <v>15</v>
      </c>
      <c r="C27" s="16">
        <f>Худудлар!Z34</f>
        <v>105</v>
      </c>
      <c r="D27" s="16">
        <f>Худудлар!AA34</f>
        <v>25415290</v>
      </c>
    </row>
    <row r="28" spans="1:4" x14ac:dyDescent="0.25">
      <c r="A28" s="22">
        <v>6</v>
      </c>
      <c r="B28" s="15" t="s">
        <v>12</v>
      </c>
      <c r="C28" s="16">
        <f>Худудлар!T34</f>
        <v>160</v>
      </c>
      <c r="D28" s="16">
        <f>Худудлар!U34</f>
        <v>34816240</v>
      </c>
    </row>
    <row r="29" spans="1:4" x14ac:dyDescent="0.25">
      <c r="A29" s="22">
        <v>7</v>
      </c>
      <c r="B29" s="15" t="s">
        <v>11</v>
      </c>
      <c r="C29" s="16">
        <f>Худудлар!R34</f>
        <v>43</v>
      </c>
      <c r="D29" s="16">
        <f>Худудлар!S34</f>
        <v>8515850</v>
      </c>
    </row>
    <row r="30" spans="1:4" x14ac:dyDescent="0.25">
      <c r="A30" s="22">
        <v>8</v>
      </c>
      <c r="B30" s="15" t="s">
        <v>27</v>
      </c>
      <c r="C30" s="16">
        <f>Худудлар!V34</f>
        <v>142</v>
      </c>
      <c r="D30" s="16">
        <f>Худудлар!W34</f>
        <v>39152570</v>
      </c>
    </row>
    <row r="31" spans="1:4" x14ac:dyDescent="0.25">
      <c r="A31" s="22">
        <v>9</v>
      </c>
      <c r="B31" s="15" t="s">
        <v>16</v>
      </c>
      <c r="C31" s="16">
        <f>Худудлар!AB34</f>
        <v>100</v>
      </c>
      <c r="D31" s="16">
        <f>Худудлар!AC34</f>
        <v>21612820</v>
      </c>
    </row>
    <row r="32" spans="1:4" x14ac:dyDescent="0.25">
      <c r="A32" s="22">
        <v>10</v>
      </c>
      <c r="B32" s="15" t="s">
        <v>18</v>
      </c>
      <c r="C32" s="16">
        <f>Худудлар!AF34</f>
        <v>34</v>
      </c>
      <c r="D32" s="16">
        <f>Худудлар!AG34</f>
        <v>8027260</v>
      </c>
    </row>
    <row r="33" spans="1:4" x14ac:dyDescent="0.25">
      <c r="A33" s="22">
        <v>11</v>
      </c>
      <c r="B33" s="15" t="s">
        <v>25</v>
      </c>
      <c r="C33" s="16">
        <f>Худудлар!P34</f>
        <v>42</v>
      </c>
      <c r="D33" s="16">
        <f>Худудлар!Q34</f>
        <v>17075050</v>
      </c>
    </row>
    <row r="34" spans="1:4" x14ac:dyDescent="0.25">
      <c r="A34" s="22">
        <v>12</v>
      </c>
      <c r="B34" s="15" t="s">
        <v>21</v>
      </c>
      <c r="C34" s="16">
        <f>Худудлар!F34</f>
        <v>45</v>
      </c>
      <c r="D34" s="16">
        <f>Худудлар!G34</f>
        <v>10159020</v>
      </c>
    </row>
    <row r="35" spans="1:4" x14ac:dyDescent="0.25">
      <c r="A35" s="22">
        <v>13</v>
      </c>
      <c r="B35" s="18" t="s">
        <v>7</v>
      </c>
      <c r="C35" s="16">
        <f>Худудлар!J34</f>
        <v>8</v>
      </c>
      <c r="D35" s="16">
        <f>Худудлар!K34</f>
        <v>2140410</v>
      </c>
    </row>
    <row r="36" spans="1:4" x14ac:dyDescent="0.25">
      <c r="A36" s="22">
        <v>14</v>
      </c>
      <c r="B36" s="15" t="s">
        <v>9</v>
      </c>
      <c r="C36" s="16">
        <f>Худудлар!N34</f>
        <v>53</v>
      </c>
      <c r="D36" s="16">
        <f>Худудлар!O34</f>
        <v>14185040</v>
      </c>
    </row>
    <row r="37" spans="1:4" x14ac:dyDescent="0.25">
      <c r="A37" s="22">
        <v>15</v>
      </c>
      <c r="B37" s="15" t="s">
        <v>26</v>
      </c>
      <c r="C37" s="16">
        <f>Худудлар!X34</f>
        <v>0</v>
      </c>
      <c r="D37" s="16">
        <f>Худудлар!Y34</f>
        <v>0</v>
      </c>
    </row>
    <row r="38" spans="1:4" x14ac:dyDescent="0.25">
      <c r="A38" s="22"/>
      <c r="B38" s="15"/>
      <c r="C38" s="16"/>
      <c r="D38" s="16"/>
    </row>
    <row r="39" spans="1:4" ht="20.25" x14ac:dyDescent="0.3">
      <c r="A39" s="32" t="s">
        <v>29</v>
      </c>
      <c r="B39" s="29"/>
      <c r="C39" s="30">
        <f>SUM(C23:C37)</f>
        <v>2156</v>
      </c>
      <c r="D39" s="31">
        <f>SUM(D23:D37)</f>
        <v>520705220</v>
      </c>
    </row>
  </sheetData>
  <sortState xmlns:xlrd2="http://schemas.microsoft.com/office/spreadsheetml/2017/richdata2" ref="A23:D37">
    <sortCondition descending="1" ref="C23:C37"/>
  </sortState>
  <mergeCells count="2">
    <mergeCell ref="A1:D1"/>
    <mergeCell ref="A21:D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EFBA-0C1A-48F4-9BDF-9D0D5837F96E}">
  <dimension ref="A1:AE16"/>
  <sheetViews>
    <sheetView topLeftCell="B1" workbookViewId="0">
      <selection activeCell="M4" sqref="M4"/>
    </sheetView>
  </sheetViews>
  <sheetFormatPr defaultRowHeight="15" x14ac:dyDescent="0.25"/>
  <cols>
    <col min="1" max="1" width="13.140625" bestFit="1" customWidth="1"/>
    <col min="2" max="2" width="9.85546875" bestFit="1" customWidth="1"/>
    <col min="3" max="3" width="18" bestFit="1" customWidth="1"/>
    <col min="4" max="4" width="7.85546875" bestFit="1" customWidth="1"/>
    <col min="5" max="5" width="16.42578125" bestFit="1" customWidth="1"/>
    <col min="6" max="6" width="9.85546875" bestFit="1" customWidth="1"/>
    <col min="7" max="7" width="18" bestFit="1" customWidth="1"/>
    <col min="8" max="8" width="7.85546875" bestFit="1" customWidth="1"/>
    <col min="9" max="9" width="16.42578125" bestFit="1" customWidth="1"/>
    <col min="10" max="10" width="7.85546875" bestFit="1" customWidth="1"/>
    <col min="11" max="11" width="18" bestFit="1" customWidth="1"/>
    <col min="12" max="12" width="7.85546875" bestFit="1" customWidth="1"/>
    <col min="13" max="13" width="18" bestFit="1" customWidth="1"/>
    <col min="14" max="14" width="7.85546875" bestFit="1" customWidth="1"/>
    <col min="15" max="15" width="16.42578125" bestFit="1" customWidth="1"/>
    <col min="16" max="16" width="7.85546875" bestFit="1" customWidth="1"/>
    <col min="17" max="17" width="16.42578125" bestFit="1" customWidth="1"/>
    <col min="18" max="18" width="7.85546875" bestFit="1" customWidth="1"/>
    <col min="19" max="19" width="16.42578125" bestFit="1" customWidth="1"/>
    <col min="20" max="20" width="7.85546875" bestFit="1" customWidth="1"/>
    <col min="21" max="21" width="18" bestFit="1" customWidth="1"/>
    <col min="22" max="22" width="7.85546875" bestFit="1" customWidth="1"/>
    <col min="23" max="23" width="15" bestFit="1" customWidth="1"/>
    <col min="24" max="24" width="7.85546875" bestFit="1" customWidth="1"/>
    <col min="25" max="25" width="16.42578125" bestFit="1" customWidth="1"/>
    <col min="26" max="26" width="7.85546875" bestFit="1" customWidth="1"/>
    <col min="27" max="27" width="18" bestFit="1" customWidth="1"/>
    <col min="28" max="28" width="9.85546875" bestFit="1" customWidth="1"/>
    <col min="29" max="29" width="18" bestFit="1" customWidth="1"/>
    <col min="30" max="30" width="7.85546875" bestFit="1" customWidth="1"/>
    <col min="31" max="31" width="16.42578125" bestFit="1" customWidth="1"/>
  </cols>
  <sheetData>
    <row r="1" spans="1:31" ht="44.25" customHeight="1" x14ac:dyDescent="0.25">
      <c r="A1" s="97" t="s">
        <v>30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</row>
    <row r="2" spans="1:31" ht="18.75" x14ac:dyDescent="0.3">
      <c r="A2" s="98" t="s">
        <v>22</v>
      </c>
      <c r="B2" s="98" t="s">
        <v>20</v>
      </c>
      <c r="C2" s="98"/>
      <c r="D2" s="98" t="s">
        <v>21</v>
      </c>
      <c r="E2" s="98"/>
      <c r="F2" s="98" t="s">
        <v>6</v>
      </c>
      <c r="G2" s="98"/>
      <c r="H2" s="98" t="s">
        <v>7</v>
      </c>
      <c r="I2" s="98"/>
      <c r="J2" s="98" t="s">
        <v>8</v>
      </c>
      <c r="K2" s="98"/>
      <c r="L2" s="98" t="s">
        <v>9</v>
      </c>
      <c r="M2" s="98"/>
      <c r="N2" s="98" t="s">
        <v>10</v>
      </c>
      <c r="O2" s="98"/>
      <c r="P2" s="98" t="s">
        <v>11</v>
      </c>
      <c r="Q2" s="98"/>
      <c r="R2" s="98" t="s">
        <v>12</v>
      </c>
      <c r="S2" s="98"/>
      <c r="T2" s="99" t="s">
        <v>13</v>
      </c>
      <c r="U2" s="99"/>
      <c r="V2" s="99" t="s">
        <v>14</v>
      </c>
      <c r="W2" s="99"/>
      <c r="X2" s="99" t="s">
        <v>15</v>
      </c>
      <c r="Y2" s="99"/>
      <c r="Z2" s="99" t="s">
        <v>16</v>
      </c>
      <c r="AA2" s="99"/>
      <c r="AB2" s="99" t="s">
        <v>17</v>
      </c>
      <c r="AC2" s="99"/>
      <c r="AD2" s="99" t="s">
        <v>18</v>
      </c>
      <c r="AE2" s="99"/>
    </row>
    <row r="3" spans="1:31" ht="18.75" x14ac:dyDescent="0.3">
      <c r="A3" s="98"/>
      <c r="B3" s="59" t="s">
        <v>3</v>
      </c>
      <c r="C3" s="59" t="s">
        <v>4</v>
      </c>
      <c r="D3" s="59" t="s">
        <v>3</v>
      </c>
      <c r="E3" s="59" t="s">
        <v>4</v>
      </c>
      <c r="F3" s="59" t="s">
        <v>3</v>
      </c>
      <c r="G3" s="59" t="s">
        <v>4</v>
      </c>
      <c r="H3" s="59" t="s">
        <v>3</v>
      </c>
      <c r="I3" s="59" t="s">
        <v>4</v>
      </c>
      <c r="J3" s="59" t="s">
        <v>3</v>
      </c>
      <c r="K3" s="59" t="s">
        <v>4</v>
      </c>
      <c r="L3" s="59" t="s">
        <v>3</v>
      </c>
      <c r="M3" s="59" t="s">
        <v>4</v>
      </c>
      <c r="N3" s="59" t="s">
        <v>3</v>
      </c>
      <c r="O3" s="59" t="s">
        <v>4</v>
      </c>
      <c r="P3" s="59" t="s">
        <v>3</v>
      </c>
      <c r="Q3" s="59" t="s">
        <v>4</v>
      </c>
      <c r="R3" s="59" t="s">
        <v>3</v>
      </c>
      <c r="S3" s="59" t="s">
        <v>4</v>
      </c>
      <c r="T3" s="59" t="s">
        <v>3</v>
      </c>
      <c r="U3" s="59" t="s">
        <v>4</v>
      </c>
      <c r="V3" s="59" t="s">
        <v>3</v>
      </c>
      <c r="W3" s="59" t="s">
        <v>4</v>
      </c>
      <c r="X3" s="59" t="s">
        <v>3</v>
      </c>
      <c r="Y3" s="59" t="s">
        <v>4</v>
      </c>
      <c r="Z3" s="59" t="s">
        <v>3</v>
      </c>
      <c r="AA3" s="59" t="s">
        <v>4</v>
      </c>
      <c r="AB3" s="59" t="s">
        <v>3</v>
      </c>
      <c r="AC3" s="59" t="s">
        <v>4</v>
      </c>
      <c r="AD3" s="59" t="s">
        <v>3</v>
      </c>
      <c r="AE3" s="59" t="s">
        <v>4</v>
      </c>
    </row>
    <row r="4" spans="1:31" ht="18.75" x14ac:dyDescent="0.3">
      <c r="A4" s="22" t="s">
        <v>31</v>
      </c>
      <c r="B4" s="60">
        <v>393</v>
      </c>
      <c r="C4" s="60">
        <v>128161410</v>
      </c>
      <c r="D4" s="60">
        <v>159</v>
      </c>
      <c r="E4" s="60">
        <v>54581230</v>
      </c>
      <c r="F4" s="60">
        <v>573</v>
      </c>
      <c r="G4" s="60">
        <v>127638850</v>
      </c>
      <c r="H4" s="60">
        <v>60</v>
      </c>
      <c r="I4" s="60">
        <v>11090840</v>
      </c>
      <c r="J4" s="60">
        <v>68</v>
      </c>
      <c r="K4" s="60">
        <v>14072500</v>
      </c>
      <c r="L4" s="60">
        <v>212</v>
      </c>
      <c r="M4" s="60">
        <v>75296380</v>
      </c>
      <c r="N4" s="60">
        <v>90</v>
      </c>
      <c r="O4" s="60">
        <v>21169260</v>
      </c>
      <c r="P4" s="60">
        <v>40</v>
      </c>
      <c r="Q4" s="60">
        <v>10032280</v>
      </c>
      <c r="R4" s="60">
        <v>144</v>
      </c>
      <c r="S4" s="60">
        <v>29875380</v>
      </c>
      <c r="T4" s="60">
        <v>142</v>
      </c>
      <c r="U4" s="60">
        <v>29047220</v>
      </c>
      <c r="V4" s="60">
        <v>6</v>
      </c>
      <c r="W4" s="60">
        <v>2519510</v>
      </c>
      <c r="X4" s="60">
        <v>111</v>
      </c>
      <c r="Y4" s="60">
        <v>23775260</v>
      </c>
      <c r="Z4" s="60">
        <v>81</v>
      </c>
      <c r="AA4" s="60">
        <v>18504850</v>
      </c>
      <c r="AB4" s="60">
        <v>432</v>
      </c>
      <c r="AC4" s="60">
        <v>145134680</v>
      </c>
      <c r="AD4" s="60">
        <v>93</v>
      </c>
      <c r="AE4" s="60">
        <v>20428840</v>
      </c>
    </row>
    <row r="5" spans="1:31" ht="18.75" x14ac:dyDescent="0.3">
      <c r="A5" s="22" t="s">
        <v>32</v>
      </c>
      <c r="B5" s="60">
        <v>280</v>
      </c>
      <c r="C5" s="60">
        <v>84371130</v>
      </c>
      <c r="D5" s="60">
        <v>69</v>
      </c>
      <c r="E5" s="60">
        <v>20794540</v>
      </c>
      <c r="F5" s="60">
        <v>945</v>
      </c>
      <c r="G5" s="60">
        <v>224851440</v>
      </c>
      <c r="H5" s="60">
        <v>15</v>
      </c>
      <c r="I5" s="60">
        <v>3582380</v>
      </c>
      <c r="J5" s="60">
        <v>38</v>
      </c>
      <c r="K5" s="60">
        <v>8572500</v>
      </c>
      <c r="L5" s="60">
        <v>82</v>
      </c>
      <c r="M5" s="60">
        <v>28047020</v>
      </c>
      <c r="N5" s="60">
        <v>95</v>
      </c>
      <c r="O5" s="60">
        <v>23630330</v>
      </c>
      <c r="P5" s="60">
        <v>37</v>
      </c>
      <c r="Q5" s="60">
        <v>8684810</v>
      </c>
      <c r="R5" s="60">
        <v>50</v>
      </c>
      <c r="S5" s="60">
        <v>11934960</v>
      </c>
      <c r="T5" s="60">
        <v>205</v>
      </c>
      <c r="U5" s="60">
        <v>49185120</v>
      </c>
      <c r="V5" s="60">
        <v>3</v>
      </c>
      <c r="W5" s="60">
        <v>998990</v>
      </c>
      <c r="X5" s="60">
        <v>142</v>
      </c>
      <c r="Y5" s="60">
        <v>29655970</v>
      </c>
      <c r="Z5" s="60">
        <v>183</v>
      </c>
      <c r="AA5" s="60">
        <v>47086220</v>
      </c>
      <c r="AB5" s="60">
        <v>475</v>
      </c>
      <c r="AC5" s="60">
        <v>156561430</v>
      </c>
      <c r="AD5" s="60">
        <v>35</v>
      </c>
      <c r="AE5" s="60">
        <v>8078000</v>
      </c>
    </row>
    <row r="6" spans="1:31" ht="18.75" x14ac:dyDescent="0.3">
      <c r="A6" s="22" t="s">
        <v>33</v>
      </c>
      <c r="B6" s="60">
        <f>[1]Худудлар!D35</f>
        <v>300</v>
      </c>
      <c r="C6" s="60">
        <f>[1]Худудлар!E35</f>
        <v>85370650</v>
      </c>
      <c r="D6" s="60">
        <f>[1]Худудлар!F35</f>
        <v>39</v>
      </c>
      <c r="E6" s="60">
        <f>[1]Худудлар!G35</f>
        <v>10019510</v>
      </c>
      <c r="F6" s="60">
        <f>[1]Худудлар!H35</f>
        <v>454</v>
      </c>
      <c r="G6" s="60">
        <f>[1]Худудлар!I35</f>
        <v>103382420</v>
      </c>
      <c r="H6" s="60">
        <f>[1]Худудлар!J35</f>
        <v>8</v>
      </c>
      <c r="I6" s="60">
        <f>[1]Худудлар!K35</f>
        <v>1819320</v>
      </c>
      <c r="J6" s="60">
        <f>[1]Худудлар!L35</f>
        <v>68</v>
      </c>
      <c r="K6" s="60">
        <f>[1]Худудлар!M35</f>
        <v>19585380</v>
      </c>
      <c r="L6" s="60">
        <f>[1]Худудлар!N35</f>
        <v>101</v>
      </c>
      <c r="M6" s="60">
        <f>[1]Худудлар!O35</f>
        <v>29188810</v>
      </c>
      <c r="N6" s="60">
        <f>[1]Худудлар!P35</f>
        <v>50</v>
      </c>
      <c r="O6" s="60">
        <f>[1]Худудлар!Q35</f>
        <v>13512240</v>
      </c>
      <c r="P6" s="60">
        <f>[1]Худудлар!R35</f>
        <v>8</v>
      </c>
      <c r="Q6" s="60">
        <f>[1]Худудлар!S35</f>
        <v>1863550</v>
      </c>
      <c r="R6" s="60">
        <f>[1]Худудлар!T35</f>
        <v>86</v>
      </c>
      <c r="S6" s="60">
        <f>[1]Худудлар!U35</f>
        <v>22192230</v>
      </c>
      <c r="T6" s="60">
        <f>[1]Худудлар!V35</f>
        <v>73</v>
      </c>
      <c r="U6" s="60">
        <f>[1]Худудлар!W35</f>
        <v>17464110</v>
      </c>
      <c r="V6" s="60">
        <f>[1]Худудлар!X35</f>
        <v>1</v>
      </c>
      <c r="W6" s="60">
        <f>[1]Худудлар!Y35</f>
        <v>258610</v>
      </c>
      <c r="X6" s="60">
        <f>[1]Худудлар!Z35</f>
        <v>86</v>
      </c>
      <c r="Y6" s="60">
        <f>[1]Худудлар!AA35</f>
        <v>17664210</v>
      </c>
      <c r="Z6" s="60">
        <f>[1]Худудлар!AB35</f>
        <v>43</v>
      </c>
      <c r="AA6" s="60">
        <f>[1]Худудлар!AC35</f>
        <v>20516590</v>
      </c>
      <c r="AB6" s="60">
        <f>[1]Худудлар!AD35</f>
        <v>179</v>
      </c>
      <c r="AC6" s="60">
        <f>[1]Худудлар!AE35</f>
        <v>60364140</v>
      </c>
      <c r="AD6" s="60">
        <f>[1]Худудлар!AF35</f>
        <v>20</v>
      </c>
      <c r="AE6" s="60">
        <f>[1]Худудлар!AG35</f>
        <v>4075890</v>
      </c>
    </row>
    <row r="7" spans="1:31" ht="18.75" x14ac:dyDescent="0.3">
      <c r="A7" s="22" t="s">
        <v>34</v>
      </c>
      <c r="B7" s="60">
        <f>Худудлар!D34</f>
        <v>216</v>
      </c>
      <c r="C7" s="60">
        <f>Худудлар!E34</f>
        <v>63491570</v>
      </c>
      <c r="D7" s="60">
        <f>Худудлар!F34</f>
        <v>45</v>
      </c>
      <c r="E7" s="60">
        <f>Худудлар!G34</f>
        <v>10159020</v>
      </c>
      <c r="F7" s="60">
        <f>Худудлар!H34</f>
        <v>678</v>
      </c>
      <c r="G7" s="60">
        <f>Худудлар!I34</f>
        <v>154274360</v>
      </c>
      <c r="H7" s="60">
        <f>Худудлар!J34</f>
        <v>8</v>
      </c>
      <c r="I7" s="60">
        <f>Худудлар!K34</f>
        <v>2140410</v>
      </c>
      <c r="J7" s="60">
        <f>Худудлар!L34</f>
        <v>344</v>
      </c>
      <c r="K7" s="60">
        <f>Худудлар!M34</f>
        <v>82793410</v>
      </c>
      <c r="L7" s="60">
        <f>Худудлар!N34</f>
        <v>53</v>
      </c>
      <c r="M7" s="60">
        <f>Худудлар!O34</f>
        <v>14185040</v>
      </c>
      <c r="N7" s="60">
        <f>Худудлар!P34</f>
        <v>42</v>
      </c>
      <c r="O7" s="60">
        <f>Худудлар!Q34</f>
        <v>17075050</v>
      </c>
      <c r="P7" s="60">
        <f>Худудлар!R34</f>
        <v>43</v>
      </c>
      <c r="Q7" s="60">
        <f>Худудлар!S34</f>
        <v>8515850</v>
      </c>
      <c r="R7" s="60">
        <f>Худудлар!T34</f>
        <v>160</v>
      </c>
      <c r="S7" s="60">
        <f>Худудлар!U34</f>
        <v>34816240</v>
      </c>
      <c r="T7" s="60">
        <f>Худудлар!V34</f>
        <v>142</v>
      </c>
      <c r="U7" s="60">
        <f>Худудлар!W34</f>
        <v>39152570</v>
      </c>
      <c r="V7" s="60">
        <f>Худудлар!X34</f>
        <v>0</v>
      </c>
      <c r="W7" s="60">
        <f>Худудлар!Y34</f>
        <v>0</v>
      </c>
      <c r="X7" s="60">
        <f>Худудлар!Z34</f>
        <v>105</v>
      </c>
      <c r="Y7" s="60">
        <f>Худудлар!AA34</f>
        <v>25415290</v>
      </c>
      <c r="Z7" s="60">
        <f>Худудлар!AB34</f>
        <v>100</v>
      </c>
      <c r="AA7" s="60">
        <f>Худудлар!AC34</f>
        <v>21612820</v>
      </c>
      <c r="AB7" s="60">
        <f>Худудлар!AD34</f>
        <v>186</v>
      </c>
      <c r="AC7" s="60">
        <f>Худудлар!AE34</f>
        <v>39046330</v>
      </c>
      <c r="AD7" s="60">
        <f>Худудлар!AF34</f>
        <v>34</v>
      </c>
      <c r="AE7" s="60">
        <f>Худудлар!AG34</f>
        <v>8027260</v>
      </c>
    </row>
    <row r="8" spans="1:31" ht="18.75" x14ac:dyDescent="0.3">
      <c r="A8" s="22" t="s">
        <v>35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</row>
    <row r="9" spans="1:31" ht="18.75" x14ac:dyDescent="0.3">
      <c r="A9" s="22" t="s">
        <v>36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</row>
    <row r="10" spans="1:31" ht="18.75" x14ac:dyDescent="0.3">
      <c r="A10" s="22" t="s">
        <v>37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</row>
    <row r="11" spans="1:31" ht="18.75" x14ac:dyDescent="0.3">
      <c r="A11" s="22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</row>
    <row r="12" spans="1:31" ht="18.75" x14ac:dyDescent="0.3">
      <c r="A12" s="22" t="s">
        <v>39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</row>
    <row r="13" spans="1:31" ht="18.75" x14ac:dyDescent="0.3">
      <c r="A13" s="22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</row>
    <row r="14" spans="1:31" ht="18.75" x14ac:dyDescent="0.3">
      <c r="A14" s="22" t="s">
        <v>41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</row>
    <row r="15" spans="1:31" ht="18.75" x14ac:dyDescent="0.3">
      <c r="A15" s="22" t="s">
        <v>42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</row>
    <row r="16" spans="1:31" ht="18.75" x14ac:dyDescent="0.3">
      <c r="A16" s="61" t="s">
        <v>1</v>
      </c>
      <c r="B16" s="62">
        <f>SUM(B4:B15)</f>
        <v>1189</v>
      </c>
      <c r="C16" s="62">
        <f t="shared" ref="C16:AE16" si="0">SUM(C4:C15)</f>
        <v>361394760</v>
      </c>
      <c r="D16" s="62">
        <f t="shared" si="0"/>
        <v>312</v>
      </c>
      <c r="E16" s="62">
        <f t="shared" si="0"/>
        <v>95554300</v>
      </c>
      <c r="F16" s="62">
        <f t="shared" si="0"/>
        <v>2650</v>
      </c>
      <c r="G16" s="62">
        <f t="shared" si="0"/>
        <v>610147070</v>
      </c>
      <c r="H16" s="62">
        <f t="shared" si="0"/>
        <v>91</v>
      </c>
      <c r="I16" s="62">
        <f t="shared" si="0"/>
        <v>18632950</v>
      </c>
      <c r="J16" s="62">
        <f t="shared" si="0"/>
        <v>518</v>
      </c>
      <c r="K16" s="62">
        <f t="shared" si="0"/>
        <v>125023790</v>
      </c>
      <c r="L16" s="62">
        <f t="shared" si="0"/>
        <v>448</v>
      </c>
      <c r="M16" s="62">
        <f t="shared" si="0"/>
        <v>146717250</v>
      </c>
      <c r="N16" s="62">
        <f t="shared" si="0"/>
        <v>277</v>
      </c>
      <c r="O16" s="62">
        <f t="shared" si="0"/>
        <v>75386880</v>
      </c>
      <c r="P16" s="62">
        <f t="shared" si="0"/>
        <v>128</v>
      </c>
      <c r="Q16" s="62">
        <f t="shared" si="0"/>
        <v>29096490</v>
      </c>
      <c r="R16" s="62">
        <f t="shared" si="0"/>
        <v>440</v>
      </c>
      <c r="S16" s="62">
        <f t="shared" si="0"/>
        <v>98818810</v>
      </c>
      <c r="T16" s="62">
        <f t="shared" si="0"/>
        <v>562</v>
      </c>
      <c r="U16" s="62">
        <f t="shared" si="0"/>
        <v>134849020</v>
      </c>
      <c r="V16" s="62">
        <f t="shared" si="0"/>
        <v>10</v>
      </c>
      <c r="W16" s="62">
        <f t="shared" si="0"/>
        <v>3777110</v>
      </c>
      <c r="X16" s="62">
        <f t="shared" si="0"/>
        <v>444</v>
      </c>
      <c r="Y16" s="62">
        <f t="shared" si="0"/>
        <v>96510730</v>
      </c>
      <c r="Z16" s="62">
        <f t="shared" si="0"/>
        <v>407</v>
      </c>
      <c r="AA16" s="62">
        <f t="shared" si="0"/>
        <v>107720480</v>
      </c>
      <c r="AB16" s="62">
        <f t="shared" si="0"/>
        <v>1272</v>
      </c>
      <c r="AC16" s="62">
        <f t="shared" si="0"/>
        <v>401106580</v>
      </c>
      <c r="AD16" s="62">
        <f t="shared" si="0"/>
        <v>182</v>
      </c>
      <c r="AE16" s="62">
        <f t="shared" si="0"/>
        <v>40609990</v>
      </c>
    </row>
  </sheetData>
  <mergeCells count="17">
    <mergeCell ref="AB2:AC2"/>
    <mergeCell ref="A1:AE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AD2:AE2"/>
    <mergeCell ref="R2:S2"/>
    <mergeCell ref="T2:U2"/>
    <mergeCell ref="V2:W2"/>
    <mergeCell ref="X2:Y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Жами</vt:lpstr>
      <vt:lpstr>Худудлар</vt:lpstr>
      <vt:lpstr>Лист1</vt:lpstr>
      <vt:lpstr>Ойлар кесимида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2026-07-23T07:12:22Z</dcterms:modified>
</cp:coreProperties>
</file>