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499A1302-E195-4B13-A375-813F27301E5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Жами" sheetId="1" r:id="rId1"/>
    <sheet name="Худудлар" sheetId="2" r:id="rId2"/>
    <sheet name="Лист1" sheetId="3" r:id="rId3"/>
    <sheet name="Ойлар кесимид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2" l="1"/>
  <c r="F35" i="2"/>
  <c r="G35" i="2"/>
  <c r="H35" i="2"/>
  <c r="I35" i="2"/>
  <c r="J35" i="2"/>
  <c r="H6" i="4" s="1"/>
  <c r="H16" i="4" s="1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B6" i="4" s="1"/>
  <c r="AB16" i="4" s="1"/>
  <c r="AE35" i="2"/>
  <c r="AF35" i="2"/>
  <c r="AG35" i="2"/>
  <c r="D35" i="2"/>
  <c r="B6" i="4" s="1"/>
  <c r="B16" i="4" s="1"/>
  <c r="C32" i="2"/>
  <c r="C32" i="1" s="1"/>
  <c r="E32" i="1" s="1"/>
  <c r="C33" i="2"/>
  <c r="C33" i="1" s="1"/>
  <c r="E33" i="1" s="1"/>
  <c r="C34" i="2"/>
  <c r="C34" i="1" s="1"/>
  <c r="E34" i="1" s="1"/>
  <c r="B32" i="2"/>
  <c r="B32" i="1" s="1"/>
  <c r="D32" i="1" s="1"/>
  <c r="B33" i="2"/>
  <c r="B33" i="1" s="1"/>
  <c r="D33" i="1" s="1"/>
  <c r="B34" i="2"/>
  <c r="B34" i="1" s="1"/>
  <c r="D34" i="1" s="1"/>
  <c r="C22" i="2"/>
  <c r="C14" i="2"/>
  <c r="C13" i="2"/>
  <c r="C12" i="2"/>
  <c r="C10" i="2"/>
  <c r="C7" i="2"/>
  <c r="C6" i="2"/>
  <c r="C5" i="2"/>
  <c r="C4" i="2"/>
  <c r="C31" i="2"/>
  <c r="C30" i="2"/>
  <c r="C29" i="2"/>
  <c r="C28" i="2"/>
  <c r="C27" i="2"/>
  <c r="C8" i="2"/>
  <c r="B5" i="2"/>
  <c r="B4" i="2"/>
  <c r="B6" i="2"/>
  <c r="B7" i="2"/>
  <c r="B8" i="2"/>
  <c r="B9" i="2"/>
  <c r="C9" i="2"/>
  <c r="B10" i="2"/>
  <c r="B11" i="2"/>
  <c r="C11" i="2"/>
  <c r="B12" i="2"/>
  <c r="B13" i="2"/>
  <c r="B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B23" i="2"/>
  <c r="C23" i="2"/>
  <c r="B24" i="2"/>
  <c r="C24" i="2"/>
  <c r="B25" i="2"/>
  <c r="C25" i="2"/>
  <c r="B26" i="2"/>
  <c r="C26" i="2"/>
  <c r="B27" i="2"/>
  <c r="B28" i="2"/>
  <c r="B29" i="2"/>
  <c r="B30" i="2"/>
  <c r="B31" i="2"/>
  <c r="N6" i="4"/>
  <c r="N16" i="4" s="1"/>
  <c r="R6" i="4"/>
  <c r="R16" i="4" s="1"/>
  <c r="J6" i="4"/>
  <c r="J16" i="4" s="1"/>
  <c r="L6" i="4"/>
  <c r="L16" i="4" s="1"/>
  <c r="P6" i="4"/>
  <c r="P16" i="4" s="1"/>
  <c r="T6" i="4"/>
  <c r="T16" i="4" s="1"/>
  <c r="V6" i="4"/>
  <c r="V16" i="4" s="1"/>
  <c r="X6" i="4"/>
  <c r="X16" i="4" s="1"/>
  <c r="Z6" i="4"/>
  <c r="Z16" i="4" s="1"/>
  <c r="AD6" i="4"/>
  <c r="AD16" i="4" s="1"/>
  <c r="D6" i="4"/>
  <c r="D16" i="4" s="1"/>
  <c r="F6" i="4"/>
  <c r="F16" i="4" s="1"/>
  <c r="F35" i="1"/>
  <c r="C35" i="2" l="1"/>
  <c r="W6" i="4"/>
  <c r="W16" i="4" s="1"/>
  <c r="Q6" i="4"/>
  <c r="Q16" i="4" s="1"/>
  <c r="I6" i="4"/>
  <c r="I16" i="4" s="1"/>
  <c r="S6" i="4"/>
  <c r="S16" i="4" s="1"/>
  <c r="Y6" i="4"/>
  <c r="Y16" i="4" s="1"/>
  <c r="E6" i="4"/>
  <c r="E16" i="4" s="1"/>
  <c r="O6" i="4"/>
  <c r="O16" i="4" s="1"/>
  <c r="U6" i="4"/>
  <c r="U16" i="4" s="1"/>
  <c r="G6" i="4"/>
  <c r="G16" i="4" s="1"/>
  <c r="AE6" i="4"/>
  <c r="AE16" i="4" s="1"/>
  <c r="K6" i="4"/>
  <c r="K16" i="4" s="1"/>
  <c r="AA6" i="4"/>
  <c r="AA16" i="4" s="1"/>
  <c r="C6" i="4"/>
  <c r="C16" i="4" s="1"/>
  <c r="M6" i="4"/>
  <c r="M16" i="4" s="1"/>
  <c r="AC6" i="4"/>
  <c r="AC16" i="4" s="1"/>
  <c r="C20" i="1"/>
  <c r="E20" i="1" s="1"/>
  <c r="B20" i="1"/>
  <c r="D20" i="1" s="1"/>
  <c r="C19" i="1"/>
  <c r="E19" i="1" s="1"/>
  <c r="B19" i="1"/>
  <c r="D19" i="1" s="1"/>
  <c r="B35" i="2" l="1"/>
  <c r="C18" i="1"/>
  <c r="E18" i="1" s="1"/>
  <c r="B18" i="1"/>
  <c r="D18" i="1" s="1"/>
  <c r="C17" i="1" l="1"/>
  <c r="E17" i="1" s="1"/>
  <c r="B17" i="1"/>
  <c r="D17" i="1" s="1"/>
  <c r="C16" i="1"/>
  <c r="E16" i="1" s="1"/>
  <c r="B16" i="1"/>
  <c r="D16" i="1" s="1"/>
  <c r="C15" i="1"/>
  <c r="E15" i="1" s="1"/>
  <c r="B15" i="1"/>
  <c r="D15" i="1" s="1"/>
  <c r="C14" i="1"/>
  <c r="E14" i="1" s="1"/>
  <c r="B14" i="1"/>
  <c r="D14" i="1" s="1"/>
  <c r="C13" i="1" l="1"/>
  <c r="E13" i="1" s="1"/>
  <c r="B13" i="1"/>
  <c r="D13" i="1" s="1"/>
  <c r="C12" i="1"/>
  <c r="E12" i="1" s="1"/>
  <c r="B12" i="1"/>
  <c r="D12" i="1" s="1"/>
  <c r="C11" i="1" l="1"/>
  <c r="E11" i="1" s="1"/>
  <c r="B11" i="1"/>
  <c r="D11" i="1" s="1"/>
  <c r="C10" i="1" l="1"/>
  <c r="E10" i="1" s="1"/>
  <c r="B10" i="1"/>
  <c r="D10" i="1" s="1"/>
  <c r="C9" i="1"/>
  <c r="E9" i="1" s="1"/>
  <c r="B9" i="1"/>
  <c r="D9" i="1" s="1"/>
  <c r="C8" i="1"/>
  <c r="E8" i="1" s="1"/>
  <c r="B8" i="1"/>
  <c r="D8" i="1" s="1"/>
  <c r="C7" i="1" l="1"/>
  <c r="E7" i="1" s="1"/>
  <c r="B7" i="1"/>
  <c r="D7" i="1" s="1"/>
  <c r="C6" i="1" l="1"/>
  <c r="E6" i="1" s="1"/>
  <c r="B6" i="1"/>
  <c r="D6" i="1" s="1"/>
  <c r="C5" i="1"/>
  <c r="E5" i="1" s="1"/>
  <c r="B5" i="1"/>
  <c r="D5" i="1" s="1"/>
  <c r="B31" i="1" l="1"/>
  <c r="D31" i="1" s="1"/>
  <c r="B28" i="1"/>
  <c r="D28" i="1" s="1"/>
  <c r="C27" i="1"/>
  <c r="E27" i="1" s="1"/>
  <c r="B27" i="1"/>
  <c r="D27" i="1" s="1"/>
  <c r="C26" i="1"/>
  <c r="E26" i="1" s="1"/>
  <c r="B26" i="1"/>
  <c r="D26" i="1" s="1"/>
  <c r="C25" i="1"/>
  <c r="E25" i="1" s="1"/>
  <c r="B25" i="1"/>
  <c r="D25" i="1" s="1"/>
  <c r="B21" i="1"/>
  <c r="D21" i="1" s="1"/>
  <c r="B22" i="1"/>
  <c r="D22" i="1" s="1"/>
  <c r="B23" i="1"/>
  <c r="D23" i="1" s="1"/>
  <c r="B24" i="1"/>
  <c r="D24" i="1" s="1"/>
  <c r="B29" i="1"/>
  <c r="D29" i="1" s="1"/>
  <c r="B30" i="1"/>
  <c r="D30" i="1" s="1"/>
  <c r="G35" i="1" l="1"/>
  <c r="D14" i="3"/>
  <c r="C34" i="3"/>
  <c r="D5" i="3"/>
  <c r="C25" i="3"/>
  <c r="D7" i="3"/>
  <c r="C30" i="3"/>
  <c r="D17" i="3"/>
  <c r="C37" i="3"/>
  <c r="D10" i="3"/>
  <c r="C29" i="3"/>
  <c r="D8" i="3"/>
  <c r="C28" i="3"/>
  <c r="D16" i="3"/>
  <c r="C36" i="3"/>
  <c r="C31" i="3"/>
  <c r="D6" i="3"/>
  <c r="C26" i="3"/>
  <c r="D13" i="3"/>
  <c r="C33" i="3"/>
  <c r="D15" i="3"/>
  <c r="C35" i="3"/>
  <c r="D12" i="3"/>
  <c r="C24" i="1"/>
  <c r="E24" i="1" s="1"/>
  <c r="C23" i="1"/>
  <c r="E23" i="1" s="1"/>
  <c r="C22" i="1"/>
  <c r="E22" i="1" s="1"/>
  <c r="C21" i="1"/>
  <c r="E21" i="1" s="1"/>
  <c r="C28" i="1"/>
  <c r="E28" i="1" s="1"/>
  <c r="C29" i="1"/>
  <c r="E29" i="1" s="1"/>
  <c r="C30" i="1"/>
  <c r="E30" i="1" s="1"/>
  <c r="C31" i="1"/>
  <c r="E31" i="1" s="1"/>
  <c r="B4" i="1" l="1"/>
  <c r="C4" i="1"/>
  <c r="C12" i="3"/>
  <c r="C32" i="3"/>
  <c r="E4" i="1" l="1"/>
  <c r="E35" i="1" s="1"/>
  <c r="D4" i="1"/>
  <c r="D35" i="1" s="1"/>
  <c r="B35" i="1"/>
  <c r="D32" i="3"/>
  <c r="D33" i="3" l="1"/>
  <c r="C13" i="3"/>
  <c r="D34" i="3" l="1"/>
  <c r="C14" i="3"/>
  <c r="D25" i="3"/>
  <c r="C5" i="3"/>
  <c r="D30" i="3" l="1"/>
  <c r="C7" i="3"/>
  <c r="D9" i="3"/>
  <c r="D27" i="3"/>
  <c r="C9" i="3"/>
  <c r="C27" i="3"/>
  <c r="C35" i="1"/>
  <c r="D11" i="3" l="1"/>
  <c r="D31" i="3"/>
  <c r="C11" i="3"/>
  <c r="D4" i="3"/>
  <c r="D24" i="3"/>
  <c r="C4" i="3"/>
  <c r="C24" i="3"/>
  <c r="D29" i="3"/>
  <c r="C10" i="3"/>
  <c r="D3" i="3"/>
  <c r="D23" i="3"/>
  <c r="C3" i="3"/>
  <c r="C23" i="3"/>
  <c r="D28" i="3"/>
  <c r="C8" i="3"/>
  <c r="D26" i="3"/>
  <c r="C6" i="3"/>
  <c r="D35" i="3"/>
  <c r="C15" i="3"/>
  <c r="D36" i="3"/>
  <c r="C16" i="3"/>
  <c r="D37" i="3"/>
  <c r="C17" i="3"/>
  <c r="D19" i="3" l="1"/>
  <c r="C39" i="3"/>
  <c r="C19" i="3"/>
  <c r="D39" i="3"/>
</calcChain>
</file>

<file path=xl/sharedStrings.xml><?xml version="1.0" encoding="utf-8"?>
<sst xmlns="http://schemas.openxmlformats.org/spreadsheetml/2006/main" count="165" uniqueCount="46">
  <si>
    <t>Кун</t>
  </si>
  <si>
    <t>Жами</t>
  </si>
  <si>
    <t>Онлайн тўлов</t>
  </si>
  <si>
    <t>Сони</t>
  </si>
  <si>
    <t>Сумма</t>
  </si>
  <si>
    <t xml:space="preserve"> Сумма</t>
  </si>
  <si>
    <t>Самарканд</t>
  </si>
  <si>
    <t>Навои</t>
  </si>
  <si>
    <t>Бухоро</t>
  </si>
  <si>
    <t>Нукус</t>
  </si>
  <si>
    <t>Ургенч</t>
  </si>
  <si>
    <t>Хива</t>
  </si>
  <si>
    <t>Карши</t>
  </si>
  <si>
    <t>Термез</t>
  </si>
  <si>
    <t>Кунгрод</t>
  </si>
  <si>
    <t>Андижон</t>
  </si>
  <si>
    <t>Қўқон</t>
  </si>
  <si>
    <t>Марғилон</t>
  </si>
  <si>
    <t>Наманган</t>
  </si>
  <si>
    <t>Терминал тўлов</t>
  </si>
  <si>
    <t>Тошкент Марказий</t>
  </si>
  <si>
    <t>Тошкент Жанубий</t>
  </si>
  <si>
    <t>Худуд</t>
  </si>
  <si>
    <t>Тошкент Шимолий</t>
  </si>
  <si>
    <t>Самарқанд</t>
  </si>
  <si>
    <t>Урганч</t>
  </si>
  <si>
    <t>Қўнғрод</t>
  </si>
  <si>
    <t>Термиз</t>
  </si>
  <si>
    <t>№</t>
  </si>
  <si>
    <t>Жами:</t>
  </si>
  <si>
    <t>Чиптаҳоналардаги киоскалардан сотилган
 чипталар тўғрисида маълумотнома 01.03.2026-31.03.2026. йил.</t>
  </si>
  <si>
    <t>Чиптаҳоналардаги киоскалардан сотилган
 чипталар тўғрисида маълумотнома (ойлар кесимида)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</si>
  <si>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</si>
  <si>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</si>
  <si>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</si>
  <si>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</si>
  <si>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</si>
  <si>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</si>
  <si>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</si>
  <si>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</si>
  <si>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</si>
  <si>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</si>
  <si>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</si>
  <si>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</si>
  <si>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Инфокиоскалардан  1-Мартдан  31-Март кунига қадар сотилган чипталар
 тўғрисида маълумотнома (худудлар кесимида (сотилган чипталар сони)) </t>
  </si>
  <si>
    <t>Инфокиоскалардан 1-Мартдан  31-Март кунига қадар сотилган чипталар
 тўғрисида маълумотнома (худудлар кесимида (сумма))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</si>
</sst>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_₽_-;\-* #,##0\ _₽_-;_-* &quot;-&quot;\ _₽_-;_-@_-"/>
    <numFmt numFmtId="165" formatCode="#,##0\ _₽"/>
  </numFmts>
  <fonts count="1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0" fillId="0" borderId="0"/>
    <xf numFmtId="43" fontId="11" fillId="0" borderId="0" applyFont="0" applyFill="0" applyBorder="0" applyAlignment="0" applyProtection="0"/>
    <xf numFmtId="0" fontId="13" fillId="0" borderId="0"/>
  </cellStyleXfs>
  <cellXfs count="105">
    <xf numFmtId="0" fontId="0" fillId="0" borderId="0" xfId="0"/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8" fillId="5" borderId="15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6" borderId="30" xfId="0" applyFont="1" applyFill="1" applyBorder="1" applyAlignment="1">
      <alignment horizontal="center" vertical="center"/>
    </xf>
    <xf numFmtId="164" fontId="6" fillId="0" borderId="3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164" fontId="3" fillId="3" borderId="30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4" fontId="12" fillId="0" borderId="33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14" fontId="1" fillId="0" borderId="11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164" fontId="1" fillId="5" borderId="30" xfId="0" applyNumberFormat="1" applyFont="1" applyFill="1" applyBorder="1" applyAlignment="1">
      <alignment horizontal="center" vertical="center"/>
    </xf>
    <xf numFmtId="164" fontId="1" fillId="5" borderId="30" xfId="0" applyNumberFormat="1" applyFont="1" applyFill="1" applyBorder="1" applyAlignment="1">
      <alignment horizontal="center"/>
    </xf>
    <xf numFmtId="0" fontId="1" fillId="5" borderId="30" xfId="0" applyFont="1" applyFill="1" applyBorder="1" applyAlignment="1">
      <alignment vertical="center"/>
    </xf>
    <xf numFmtId="0" fontId="1" fillId="5" borderId="30" xfId="0" applyFont="1" applyFill="1" applyBorder="1" applyAlignment="1"/>
    <xf numFmtId="0" fontId="3" fillId="6" borderId="34" xfId="0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164" fontId="2" fillId="3" borderId="36" xfId="0" applyNumberFormat="1" applyFont="1" applyFill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14" fontId="3" fillId="5" borderId="38" xfId="0" applyNumberFormat="1" applyFont="1" applyFill="1" applyBorder="1" applyAlignment="1">
      <alignment horizontal="center" vertical="center"/>
    </xf>
    <xf numFmtId="164" fontId="3" fillId="5" borderId="35" xfId="0" applyNumberFormat="1" applyFont="1" applyFill="1" applyBorder="1" applyAlignment="1">
      <alignment horizontal="center" vertical="center"/>
    </xf>
    <xf numFmtId="164" fontId="3" fillId="5" borderId="16" xfId="0" applyNumberFormat="1" applyFont="1" applyFill="1" applyBorder="1" applyAlignment="1">
      <alignment horizontal="center" vertical="center"/>
    </xf>
    <xf numFmtId="165" fontId="3" fillId="5" borderId="15" xfId="0" applyNumberFormat="1" applyFont="1" applyFill="1" applyBorder="1" applyAlignment="1">
      <alignment horizontal="center" vertical="center"/>
    </xf>
    <xf numFmtId="165" fontId="3" fillId="5" borderId="16" xfId="0" applyNumberFormat="1" applyFont="1" applyFill="1" applyBorder="1" applyAlignment="1">
      <alignment horizontal="center" vertical="center"/>
    </xf>
    <xf numFmtId="165" fontId="3" fillId="5" borderId="35" xfId="0" applyNumberFormat="1" applyFont="1" applyFill="1" applyBorder="1" applyAlignment="1">
      <alignment horizontal="center" vertical="center"/>
    </xf>
    <xf numFmtId="164" fontId="2" fillId="3" borderId="39" xfId="0" applyNumberFormat="1" applyFont="1" applyFill="1" applyBorder="1" applyAlignment="1">
      <alignment horizontal="center" vertical="center"/>
    </xf>
    <xf numFmtId="164" fontId="2" fillId="3" borderId="40" xfId="0" applyNumberFormat="1" applyFont="1" applyFill="1" applyBorder="1" applyAlignment="1">
      <alignment horizontal="center" vertical="center"/>
    </xf>
    <xf numFmtId="165" fontId="4" fillId="0" borderId="23" xfId="0" applyNumberFormat="1" applyFont="1" applyBorder="1" applyAlignment="1">
      <alignment horizontal="center" vertical="center"/>
    </xf>
    <xf numFmtId="165" fontId="4" fillId="0" borderId="2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26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164" fontId="1" fillId="4" borderId="27" xfId="0" applyNumberFormat="1" applyFont="1" applyFill="1" applyBorder="1" applyAlignment="1">
      <alignment horizontal="center" vertical="center"/>
    </xf>
    <xf numFmtId="14" fontId="1" fillId="0" borderId="37" xfId="0" applyNumberFormat="1" applyFont="1" applyBorder="1" applyAlignment="1">
      <alignment horizontal="center" vertical="center"/>
    </xf>
    <xf numFmtId="14" fontId="1" fillId="0" borderId="25" xfId="0" applyNumberFormat="1" applyFont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165" fontId="6" fillId="0" borderId="30" xfId="0" applyNumberFormat="1" applyFont="1" applyBorder="1" applyAlignment="1">
      <alignment horizontal="center"/>
    </xf>
    <xf numFmtId="0" fontId="3" fillId="5" borderId="30" xfId="0" applyFont="1" applyFill="1" applyBorder="1" applyAlignment="1">
      <alignment horizontal="center" vertical="center"/>
    </xf>
    <xf numFmtId="165" fontId="3" fillId="5" borderId="30" xfId="0" applyNumberFormat="1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165" fontId="1" fillId="4" borderId="26" xfId="0" applyNumberFormat="1" applyFont="1" applyFill="1" applyBorder="1" applyAlignment="1">
      <alignment horizontal="center" vertical="center"/>
    </xf>
    <xf numFmtId="165" fontId="1" fillId="4" borderId="27" xfId="0" applyNumberFormat="1" applyFont="1" applyFill="1" applyBorder="1" applyAlignment="1">
      <alignment horizontal="center" vertical="center"/>
    </xf>
    <xf numFmtId="164" fontId="6" fillId="0" borderId="7" xfId="2" applyNumberFormat="1" applyFont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164" fontId="7" fillId="4" borderId="15" xfId="0" applyNumberFormat="1" applyFont="1" applyFill="1" applyBorder="1" applyAlignment="1">
      <alignment horizontal="center" vertical="center" wrapText="1"/>
    </xf>
    <xf numFmtId="164" fontId="7" fillId="4" borderId="17" xfId="0" applyNumberFormat="1" applyFont="1" applyFill="1" applyBorder="1" applyAlignment="1">
      <alignment horizontal="center" vertical="center"/>
    </xf>
    <xf numFmtId="164" fontId="7" fillId="4" borderId="16" xfId="0" applyNumberFormat="1" applyFont="1" applyFill="1" applyBorder="1" applyAlignment="1">
      <alignment horizontal="center" vertical="center"/>
    </xf>
    <xf numFmtId="165" fontId="1" fillId="4" borderId="26" xfId="0" applyNumberFormat="1" applyFont="1" applyFill="1" applyBorder="1" applyAlignment="1">
      <alignment horizontal="center" vertical="center"/>
    </xf>
    <xf numFmtId="165" fontId="1" fillId="4" borderId="27" xfId="0" applyNumberFormat="1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/>
    </xf>
    <xf numFmtId="0" fontId="8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01000000}"/>
    <cellStyle name="Обычный 3" xfId="3" xr:uid="{F787AE7E-DE4A-46A6-8B15-AB726B2D80F2}"/>
    <cellStyle name="Финансовый" xfId="2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zoomScale="85" zoomScaleNormal="85" workbookViewId="0">
      <selection activeCell="F30" sqref="F30"/>
    </sheetView>
  </sheetViews>
  <sheetFormatPr defaultRowHeight="15" x14ac:dyDescent="0.25"/>
  <cols>
    <col min="1" max="1" width="11.85546875" customWidth="1"/>
    <col min="2" max="2" width="11.5703125" bestFit="1" customWidth="1"/>
    <col min="3" max="3" width="22" bestFit="1" customWidth="1"/>
    <col min="4" max="4" width="9.85546875" bestFit="1" customWidth="1"/>
    <col min="5" max="5" width="18" bestFit="1" customWidth="1"/>
    <col min="6" max="6" width="9.85546875" bestFit="1" customWidth="1"/>
    <col min="7" max="7" width="20.140625" style="52" bestFit="1" customWidth="1"/>
    <col min="8" max="8" width="14.28515625" bestFit="1" customWidth="1"/>
  </cols>
  <sheetData>
    <row r="1" spans="1:8" ht="60" customHeight="1" thickBot="1" x14ac:dyDescent="0.3">
      <c r="A1" s="73" t="s">
        <v>30</v>
      </c>
      <c r="B1" s="74"/>
      <c r="C1" s="74"/>
      <c r="D1" s="74"/>
      <c r="E1" s="74"/>
      <c r="F1" s="74"/>
      <c r="G1" s="75"/>
    </row>
    <row r="2" spans="1:8" ht="18.75" x14ac:dyDescent="0.25">
      <c r="A2" s="76" t="s">
        <v>0</v>
      </c>
      <c r="B2" s="78" t="s">
        <v>1</v>
      </c>
      <c r="C2" s="79"/>
      <c r="D2" s="78" t="s">
        <v>2</v>
      </c>
      <c r="E2" s="80"/>
      <c r="F2" s="81" t="s">
        <v>19</v>
      </c>
      <c r="G2" s="82"/>
    </row>
    <row r="3" spans="1:8" ht="30.75" customHeight="1" thickBot="1" x14ac:dyDescent="0.3">
      <c r="A3" s="77"/>
      <c r="B3" s="27" t="s">
        <v>3</v>
      </c>
      <c r="C3" s="28" t="s">
        <v>4</v>
      </c>
      <c r="D3" s="27" t="s">
        <v>3</v>
      </c>
      <c r="E3" s="29" t="s">
        <v>4</v>
      </c>
      <c r="F3" s="27" t="s">
        <v>3</v>
      </c>
      <c r="G3" s="30" t="s">
        <v>5</v>
      </c>
    </row>
    <row r="4" spans="1:8" ht="15.75" x14ac:dyDescent="0.25">
      <c r="A4" s="41">
        <v>46082</v>
      </c>
      <c r="B4" s="48">
        <f>Худудлар!B4</f>
        <v>17</v>
      </c>
      <c r="C4" s="49">
        <f>Худудлар!C4</f>
        <v>6785590</v>
      </c>
      <c r="D4" s="50">
        <f>B4-F4</f>
        <v>10</v>
      </c>
      <c r="E4" s="51">
        <f>C4-G4</f>
        <v>3711310</v>
      </c>
      <c r="F4" s="50">
        <v>7</v>
      </c>
      <c r="G4" s="51">
        <v>3074280</v>
      </c>
    </row>
    <row r="5" spans="1:8" ht="16.5" thickBot="1" x14ac:dyDescent="0.3">
      <c r="A5" s="3">
        <v>46083</v>
      </c>
      <c r="B5" s="40">
        <f>Худудлар!B5</f>
        <v>76</v>
      </c>
      <c r="C5" s="14">
        <f>Худудлар!C5</f>
        <v>22915710</v>
      </c>
      <c r="D5" s="5">
        <f t="shared" ref="D5:D31" si="0">B5-F5</f>
        <v>31</v>
      </c>
      <c r="E5" s="10">
        <f t="shared" ref="E5:E31" si="1">C5-G5</f>
        <v>10122980</v>
      </c>
      <c r="F5" s="4">
        <v>45</v>
      </c>
      <c r="G5" s="11">
        <v>12792730</v>
      </c>
      <c r="H5" s="16"/>
    </row>
    <row r="6" spans="1:8" ht="15.75" x14ac:dyDescent="0.25">
      <c r="A6" s="41">
        <v>46084</v>
      </c>
      <c r="B6" s="40">
        <f>Худудлар!B6</f>
        <v>131</v>
      </c>
      <c r="C6" s="14">
        <f>Худудлар!C6</f>
        <v>33978240</v>
      </c>
      <c r="D6" s="5">
        <f t="shared" si="0"/>
        <v>61</v>
      </c>
      <c r="E6" s="10">
        <f t="shared" si="1"/>
        <v>18255940</v>
      </c>
      <c r="F6" s="4">
        <v>70</v>
      </c>
      <c r="G6" s="11">
        <v>15722300</v>
      </c>
      <c r="H6" s="16"/>
    </row>
    <row r="7" spans="1:8" ht="16.5" thickBot="1" x14ac:dyDescent="0.3">
      <c r="A7" s="3">
        <v>46085</v>
      </c>
      <c r="B7" s="40">
        <f>Худудлар!B7</f>
        <v>105</v>
      </c>
      <c r="C7" s="14">
        <f>Худудлар!C7</f>
        <v>22933160</v>
      </c>
      <c r="D7" s="5">
        <f t="shared" si="0"/>
        <v>76</v>
      </c>
      <c r="E7" s="10">
        <f t="shared" si="1"/>
        <v>16830980</v>
      </c>
      <c r="F7" s="4">
        <v>29</v>
      </c>
      <c r="G7" s="26">
        <v>6102180</v>
      </c>
      <c r="H7" s="16"/>
    </row>
    <row r="8" spans="1:8" ht="15.75" x14ac:dyDescent="0.25">
      <c r="A8" s="41">
        <v>46086</v>
      </c>
      <c r="B8" s="40">
        <f>Худудлар!B8</f>
        <v>78</v>
      </c>
      <c r="C8" s="14">
        <f>Худудлар!C8</f>
        <v>23003730</v>
      </c>
      <c r="D8" s="5">
        <f t="shared" si="0"/>
        <v>46</v>
      </c>
      <c r="E8" s="10">
        <f t="shared" si="1"/>
        <v>15107650</v>
      </c>
      <c r="F8" s="4">
        <v>32</v>
      </c>
      <c r="G8" s="11">
        <v>7896080</v>
      </c>
      <c r="H8" s="16"/>
    </row>
    <row r="9" spans="1:8" ht="16.5" thickBot="1" x14ac:dyDescent="0.3">
      <c r="A9" s="3">
        <v>46087</v>
      </c>
      <c r="B9" s="40">
        <f>Худудлар!B9</f>
        <v>114</v>
      </c>
      <c r="C9" s="14">
        <f>Худудлар!C9</f>
        <v>33251310</v>
      </c>
      <c r="D9" s="5">
        <f t="shared" si="0"/>
        <v>38</v>
      </c>
      <c r="E9" s="10">
        <f t="shared" si="1"/>
        <v>13878280</v>
      </c>
      <c r="F9" s="4">
        <v>76</v>
      </c>
      <c r="G9" s="11">
        <v>19373030</v>
      </c>
      <c r="H9" s="16"/>
    </row>
    <row r="10" spans="1:8" ht="15.75" x14ac:dyDescent="0.25">
      <c r="A10" s="41">
        <v>46088</v>
      </c>
      <c r="B10" s="40">
        <f>Худудлар!B10</f>
        <v>89</v>
      </c>
      <c r="C10" s="14">
        <f>Худудлар!C10</f>
        <v>23734480</v>
      </c>
      <c r="D10" s="5">
        <f t="shared" si="0"/>
        <v>39</v>
      </c>
      <c r="E10" s="10">
        <f t="shared" si="1"/>
        <v>10936300</v>
      </c>
      <c r="F10" s="4">
        <v>50</v>
      </c>
      <c r="G10" s="11">
        <v>12798180</v>
      </c>
      <c r="H10" s="16"/>
    </row>
    <row r="11" spans="1:8" ht="16.5" thickBot="1" x14ac:dyDescent="0.3">
      <c r="A11" s="3">
        <v>46089</v>
      </c>
      <c r="B11" s="40">
        <f>Худудлар!B11</f>
        <v>28</v>
      </c>
      <c r="C11" s="14">
        <f>Худудлар!C11</f>
        <v>7666200</v>
      </c>
      <c r="D11" s="5">
        <f t="shared" si="0"/>
        <v>-5</v>
      </c>
      <c r="E11" s="10">
        <f t="shared" si="1"/>
        <v>-58620</v>
      </c>
      <c r="F11" s="4">
        <v>33</v>
      </c>
      <c r="G11" s="11">
        <v>7724820</v>
      </c>
    </row>
    <row r="12" spans="1:8" ht="15.75" x14ac:dyDescent="0.25">
      <c r="A12" s="41">
        <v>46090</v>
      </c>
      <c r="B12" s="40">
        <f>Худудлар!B12</f>
        <v>19</v>
      </c>
      <c r="C12" s="14">
        <f>Худудлар!C12</f>
        <v>7678110</v>
      </c>
      <c r="D12" s="5">
        <f t="shared" si="0"/>
        <v>12</v>
      </c>
      <c r="E12" s="10">
        <f t="shared" si="1"/>
        <v>6228500</v>
      </c>
      <c r="F12" s="4">
        <v>7</v>
      </c>
      <c r="G12" s="11">
        <v>1449610</v>
      </c>
    </row>
    <row r="13" spans="1:8" ht="16.5" thickBot="1" x14ac:dyDescent="0.3">
      <c r="A13" s="3">
        <v>46091</v>
      </c>
      <c r="B13" s="40">
        <f>Худудлар!B13</f>
        <v>134</v>
      </c>
      <c r="C13" s="14">
        <f>Худудлар!C13</f>
        <v>37249410</v>
      </c>
      <c r="D13" s="5">
        <f t="shared" si="0"/>
        <v>53</v>
      </c>
      <c r="E13" s="10">
        <f t="shared" si="1"/>
        <v>17292890</v>
      </c>
      <c r="F13" s="4">
        <v>81</v>
      </c>
      <c r="G13" s="11">
        <v>19956520</v>
      </c>
    </row>
    <row r="14" spans="1:8" ht="15.75" x14ac:dyDescent="0.25">
      <c r="A14" s="41">
        <v>46092</v>
      </c>
      <c r="B14" s="40">
        <f>Худудлар!B14</f>
        <v>119</v>
      </c>
      <c r="C14" s="14">
        <f>Худудлар!C14</f>
        <v>38577410</v>
      </c>
      <c r="D14" s="5">
        <f t="shared" si="0"/>
        <v>30</v>
      </c>
      <c r="E14" s="10">
        <f t="shared" si="1"/>
        <v>15866550</v>
      </c>
      <c r="F14" s="4">
        <v>89</v>
      </c>
      <c r="G14" s="11">
        <v>22710860</v>
      </c>
    </row>
    <row r="15" spans="1:8" ht="16.5" thickBot="1" x14ac:dyDescent="0.3">
      <c r="A15" s="3">
        <v>46093</v>
      </c>
      <c r="B15" s="40">
        <f>Худудлар!B15</f>
        <v>0</v>
      </c>
      <c r="C15" s="14">
        <f>Худудлар!C15</f>
        <v>0</v>
      </c>
      <c r="D15" s="5">
        <f t="shared" si="0"/>
        <v>0</v>
      </c>
      <c r="E15" s="10">
        <f t="shared" si="1"/>
        <v>0</v>
      </c>
      <c r="F15" s="4">
        <v>0</v>
      </c>
      <c r="G15" s="11">
        <v>0</v>
      </c>
    </row>
    <row r="16" spans="1:8" ht="15.75" x14ac:dyDescent="0.25">
      <c r="A16" s="41">
        <v>46094</v>
      </c>
      <c r="B16" s="40">
        <f>Худудлар!B16</f>
        <v>1</v>
      </c>
      <c r="C16" s="14">
        <f>Худудлар!C16</f>
        <v>429000</v>
      </c>
      <c r="D16" s="5">
        <f t="shared" si="0"/>
        <v>1</v>
      </c>
      <c r="E16" s="10">
        <f t="shared" si="1"/>
        <v>429000</v>
      </c>
      <c r="F16" s="4">
        <v>0</v>
      </c>
      <c r="G16" s="11">
        <v>0</v>
      </c>
    </row>
    <row r="17" spans="1:7" ht="16.5" thickBot="1" x14ac:dyDescent="0.3">
      <c r="A17" s="3">
        <v>46095</v>
      </c>
      <c r="B17" s="40">
        <f>Худудлар!B17</f>
        <v>22</v>
      </c>
      <c r="C17" s="14">
        <f>Худудлар!C17</f>
        <v>4947560</v>
      </c>
      <c r="D17" s="5">
        <f t="shared" si="0"/>
        <v>12</v>
      </c>
      <c r="E17" s="10">
        <f t="shared" si="1"/>
        <v>2096290</v>
      </c>
      <c r="F17" s="4">
        <v>10</v>
      </c>
      <c r="G17" s="11">
        <v>2851270</v>
      </c>
    </row>
    <row r="18" spans="1:7" ht="15.75" x14ac:dyDescent="0.25">
      <c r="A18" s="41">
        <v>46096</v>
      </c>
      <c r="B18" s="40">
        <f>Худудлар!B18</f>
        <v>2</v>
      </c>
      <c r="C18" s="14">
        <f>Худудлар!C18</f>
        <v>490280</v>
      </c>
      <c r="D18" s="5">
        <f t="shared" si="0"/>
        <v>0</v>
      </c>
      <c r="E18" s="10">
        <f t="shared" si="1"/>
        <v>0</v>
      </c>
      <c r="F18" s="4">
        <v>2</v>
      </c>
      <c r="G18" s="11">
        <v>490280</v>
      </c>
    </row>
    <row r="19" spans="1:7" ht="16.5" thickBot="1" x14ac:dyDescent="0.3">
      <c r="A19" s="3">
        <v>46097</v>
      </c>
      <c r="B19" s="40">
        <f>Худудлар!B19</f>
        <v>31</v>
      </c>
      <c r="C19" s="14">
        <f>Худудлар!C19</f>
        <v>7865360</v>
      </c>
      <c r="D19" s="5">
        <f t="shared" si="0"/>
        <v>13</v>
      </c>
      <c r="E19" s="10">
        <f t="shared" si="1"/>
        <v>3538760</v>
      </c>
      <c r="F19" s="4">
        <v>18</v>
      </c>
      <c r="G19" s="11">
        <v>4326600</v>
      </c>
    </row>
    <row r="20" spans="1:7" ht="15.75" x14ac:dyDescent="0.25">
      <c r="A20" s="41">
        <v>46098</v>
      </c>
      <c r="B20" s="40">
        <f>Худудлар!B20</f>
        <v>42</v>
      </c>
      <c r="C20" s="14">
        <f>Худудлар!C20</f>
        <v>11170100</v>
      </c>
      <c r="D20" s="5">
        <f t="shared" si="0"/>
        <v>22</v>
      </c>
      <c r="E20" s="10">
        <f t="shared" si="1"/>
        <v>6675900</v>
      </c>
      <c r="F20" s="4">
        <v>20</v>
      </c>
      <c r="G20" s="11">
        <v>4494200</v>
      </c>
    </row>
    <row r="21" spans="1:7" ht="16.5" thickBot="1" x14ac:dyDescent="0.3">
      <c r="A21" s="3">
        <v>46099</v>
      </c>
      <c r="B21" s="40">
        <f>Худудлар!B21</f>
        <v>25</v>
      </c>
      <c r="C21" s="14">
        <f>Худудлар!C21</f>
        <v>6743960</v>
      </c>
      <c r="D21" s="5">
        <f t="shared" si="0"/>
        <v>10</v>
      </c>
      <c r="E21" s="10">
        <f t="shared" si="1"/>
        <v>3198220</v>
      </c>
      <c r="F21" s="25">
        <v>15</v>
      </c>
      <c r="G21" s="12">
        <v>3545740</v>
      </c>
    </row>
    <row r="22" spans="1:7" ht="15.75" x14ac:dyDescent="0.25">
      <c r="A22" s="41">
        <v>46100</v>
      </c>
      <c r="B22" s="40">
        <f>Худудлар!B22</f>
        <v>41</v>
      </c>
      <c r="C22" s="14">
        <f>Худудлар!C22</f>
        <v>8694770</v>
      </c>
      <c r="D22" s="5">
        <f t="shared" si="0"/>
        <v>21</v>
      </c>
      <c r="E22" s="10">
        <f t="shared" si="1"/>
        <v>4626410</v>
      </c>
      <c r="F22" s="25">
        <v>20</v>
      </c>
      <c r="G22" s="12">
        <v>4068360</v>
      </c>
    </row>
    <row r="23" spans="1:7" ht="16.5" thickBot="1" x14ac:dyDescent="0.3">
      <c r="A23" s="3">
        <v>46101</v>
      </c>
      <c r="B23" s="40">
        <f>Худудлар!B23</f>
        <v>16</v>
      </c>
      <c r="C23" s="14">
        <f>Худудлар!C23</f>
        <v>3830490</v>
      </c>
      <c r="D23" s="5">
        <f t="shared" si="0"/>
        <v>9</v>
      </c>
      <c r="E23" s="10">
        <f t="shared" si="1"/>
        <v>2096020</v>
      </c>
      <c r="F23" s="25">
        <v>7</v>
      </c>
      <c r="G23" s="12">
        <v>1734470</v>
      </c>
    </row>
    <row r="24" spans="1:7" ht="15.75" x14ac:dyDescent="0.25">
      <c r="A24" s="41">
        <v>46102</v>
      </c>
      <c r="B24" s="40">
        <f>Худудлар!B24</f>
        <v>16</v>
      </c>
      <c r="C24" s="14">
        <f>Худудлар!C24</f>
        <v>4100230</v>
      </c>
      <c r="D24" s="5">
        <f t="shared" si="0"/>
        <v>13</v>
      </c>
      <c r="E24" s="10">
        <f t="shared" si="1"/>
        <v>3485470</v>
      </c>
      <c r="F24" s="4">
        <v>3</v>
      </c>
      <c r="G24" s="11">
        <v>614760</v>
      </c>
    </row>
    <row r="25" spans="1:7" ht="16.5" thickBot="1" x14ac:dyDescent="0.3">
      <c r="A25" s="3">
        <v>46103</v>
      </c>
      <c r="B25" s="40">
        <f>Худудлар!B25</f>
        <v>5</v>
      </c>
      <c r="C25" s="14">
        <f>Худудлар!C25</f>
        <v>963880</v>
      </c>
      <c r="D25" s="5">
        <f t="shared" si="0"/>
        <v>3</v>
      </c>
      <c r="E25" s="10">
        <f t="shared" si="1"/>
        <v>648730</v>
      </c>
      <c r="F25" s="4">
        <v>2</v>
      </c>
      <c r="G25" s="11">
        <v>315150</v>
      </c>
    </row>
    <row r="26" spans="1:7" ht="15.75" x14ac:dyDescent="0.25">
      <c r="A26" s="41">
        <v>46104</v>
      </c>
      <c r="B26" s="40">
        <f>Худудлар!B26</f>
        <v>52</v>
      </c>
      <c r="C26" s="14">
        <f>Худудлар!C26</f>
        <v>12284800</v>
      </c>
      <c r="D26" s="5">
        <f t="shared" si="0"/>
        <v>37</v>
      </c>
      <c r="E26" s="10">
        <f t="shared" si="1"/>
        <v>8393990</v>
      </c>
      <c r="F26" s="4">
        <v>15</v>
      </c>
      <c r="G26" s="11">
        <v>3890810</v>
      </c>
    </row>
    <row r="27" spans="1:7" ht="16.5" thickBot="1" x14ac:dyDescent="0.3">
      <c r="A27" s="3">
        <v>46105</v>
      </c>
      <c r="B27" s="40">
        <f>Худудлар!B27</f>
        <v>45</v>
      </c>
      <c r="C27" s="14">
        <f>Худудлар!C27</f>
        <v>10080030</v>
      </c>
      <c r="D27" s="5">
        <f t="shared" si="0"/>
        <v>21</v>
      </c>
      <c r="E27" s="10">
        <f t="shared" si="1"/>
        <v>4707620</v>
      </c>
      <c r="F27" s="4">
        <v>24</v>
      </c>
      <c r="G27" s="11">
        <v>5372410</v>
      </c>
    </row>
    <row r="28" spans="1:7" ht="15.75" x14ac:dyDescent="0.25">
      <c r="A28" s="41">
        <v>46106</v>
      </c>
      <c r="B28" s="40">
        <f>Худудлар!B28</f>
        <v>68</v>
      </c>
      <c r="C28" s="14">
        <f>Худудлар!C28</f>
        <v>19051720</v>
      </c>
      <c r="D28" s="5">
        <f t="shared" si="0"/>
        <v>9</v>
      </c>
      <c r="E28" s="10">
        <f t="shared" si="1"/>
        <v>1636850</v>
      </c>
      <c r="F28" s="4">
        <v>59</v>
      </c>
      <c r="G28" s="11">
        <v>17414870</v>
      </c>
    </row>
    <row r="29" spans="1:7" ht="16.5" thickBot="1" x14ac:dyDescent="0.3">
      <c r="A29" s="3">
        <v>46107</v>
      </c>
      <c r="B29" s="40">
        <f>Худудлар!B29</f>
        <v>43</v>
      </c>
      <c r="C29" s="14">
        <f>Худудлар!C29</f>
        <v>9551050</v>
      </c>
      <c r="D29" s="5">
        <f t="shared" si="0"/>
        <v>10</v>
      </c>
      <c r="E29" s="10">
        <f t="shared" si="1"/>
        <v>2366320</v>
      </c>
      <c r="F29" s="25">
        <v>33</v>
      </c>
      <c r="G29" s="11">
        <v>7184730</v>
      </c>
    </row>
    <row r="30" spans="1:7" ht="15.75" x14ac:dyDescent="0.25">
      <c r="A30" s="41">
        <v>46108</v>
      </c>
      <c r="B30" s="40">
        <f>Худудлар!B30</f>
        <v>46</v>
      </c>
      <c r="C30" s="14">
        <f>Худудлар!C30</f>
        <v>12738330</v>
      </c>
      <c r="D30" s="5">
        <f t="shared" si="0"/>
        <v>46</v>
      </c>
      <c r="E30" s="10">
        <f t="shared" si="1"/>
        <v>12738330</v>
      </c>
      <c r="F30" s="4"/>
      <c r="G30" s="11"/>
    </row>
    <row r="31" spans="1:7" ht="16.5" thickBot="1" x14ac:dyDescent="0.3">
      <c r="A31" s="3">
        <v>46109</v>
      </c>
      <c r="B31" s="40">
        <f>Худудлар!B31</f>
        <v>26</v>
      </c>
      <c r="C31" s="14">
        <f>Худудлар!C31</f>
        <v>5914910</v>
      </c>
      <c r="D31" s="5">
        <f t="shared" si="0"/>
        <v>26</v>
      </c>
      <c r="E31" s="10">
        <f t="shared" si="1"/>
        <v>5914910</v>
      </c>
      <c r="F31" s="25"/>
      <c r="G31" s="11"/>
    </row>
    <row r="32" spans="1:7" ht="15.75" x14ac:dyDescent="0.25">
      <c r="A32" s="41">
        <v>46110</v>
      </c>
      <c r="B32" s="40">
        <f>Худудлар!B32</f>
        <v>45</v>
      </c>
      <c r="C32" s="14">
        <f>Худудлар!C32</f>
        <v>8996600</v>
      </c>
      <c r="D32" s="5">
        <f t="shared" ref="D32:D34" si="2">B32-F32</f>
        <v>45</v>
      </c>
      <c r="E32" s="10">
        <f t="shared" ref="E32:E34" si="3">C32-G32</f>
        <v>8996600</v>
      </c>
      <c r="F32" s="25"/>
      <c r="G32" s="11"/>
    </row>
    <row r="33" spans="1:8" ht="16.5" thickBot="1" x14ac:dyDescent="0.3">
      <c r="A33" s="3">
        <v>46111</v>
      </c>
      <c r="B33" s="40">
        <f>Худудлар!B33</f>
        <v>50</v>
      </c>
      <c r="C33" s="14">
        <f>Худудлар!C33</f>
        <v>13196110</v>
      </c>
      <c r="D33" s="5">
        <f t="shared" si="2"/>
        <v>50</v>
      </c>
      <c r="E33" s="10">
        <f t="shared" si="3"/>
        <v>13196110</v>
      </c>
      <c r="F33" s="4"/>
      <c r="G33" s="11"/>
    </row>
    <row r="34" spans="1:8" ht="16.5" thickBot="1" x14ac:dyDescent="0.3">
      <c r="A34" s="41">
        <v>46112</v>
      </c>
      <c r="B34" s="40">
        <f>Худудлар!B34</f>
        <v>30</v>
      </c>
      <c r="C34" s="14">
        <f>Худудлар!C34</f>
        <v>8455130</v>
      </c>
      <c r="D34" s="5">
        <f t="shared" si="2"/>
        <v>30</v>
      </c>
      <c r="E34" s="10">
        <f t="shared" si="3"/>
        <v>8455130</v>
      </c>
      <c r="F34" s="25"/>
      <c r="G34" s="11"/>
    </row>
    <row r="35" spans="1:8" ht="19.5" thickBot="1" x14ac:dyDescent="0.3">
      <c r="A35" s="42" t="s">
        <v>1</v>
      </c>
      <c r="B35" s="43">
        <f t="shared" ref="B35:G35" si="4">SUM(B4:B31)</f>
        <v>1391</v>
      </c>
      <c r="C35" s="44">
        <f t="shared" si="4"/>
        <v>376629820</v>
      </c>
      <c r="D35" s="45">
        <f t="shared" si="4"/>
        <v>644</v>
      </c>
      <c r="E35" s="46">
        <f t="shared" si="4"/>
        <v>190725580</v>
      </c>
      <c r="F35" s="47">
        <f t="shared" si="4"/>
        <v>747</v>
      </c>
      <c r="G35" s="46">
        <f t="shared" si="4"/>
        <v>185904240</v>
      </c>
      <c r="H35" s="16"/>
    </row>
  </sheetData>
  <mergeCells count="5">
    <mergeCell ref="A1:G1"/>
    <mergeCell ref="A2:A3"/>
    <mergeCell ref="B2:C2"/>
    <mergeCell ref="D2:E2"/>
    <mergeCell ref="F2:G2"/>
  </mergeCells>
  <pageMargins left="0.7" right="0.7" top="0.75" bottom="0.75" header="0.3" footer="0.3"/>
  <pageSetup paperSize="9" orientation="portrait" r:id="rId1"/>
  <ignoredErrors>
    <ignoredError sqref="G35" formulaRange="1"/>
    <ignoredError sqref="F35 D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6"/>
  <sheetViews>
    <sheetView zoomScale="70" zoomScaleNormal="70" workbookViewId="0">
      <selection activeCell="F35" sqref="F35"/>
    </sheetView>
  </sheetViews>
  <sheetFormatPr defaultColWidth="21.85546875" defaultRowHeight="18.75" x14ac:dyDescent="0.25"/>
  <cols>
    <col min="1" max="1" width="18.42578125" style="1" bestFit="1" customWidth="1"/>
    <col min="2" max="2" width="15.28515625" style="1" customWidth="1"/>
    <col min="3" max="3" width="25.7109375" style="1" customWidth="1"/>
    <col min="4" max="4" width="12.42578125" style="1" customWidth="1"/>
    <col min="5" max="5" width="25.7109375" style="1" customWidth="1"/>
    <col min="6" max="6" width="12.42578125" style="1" customWidth="1"/>
    <col min="7" max="7" width="23.85546875" style="1" customWidth="1"/>
    <col min="8" max="8" width="15.28515625" style="1" customWidth="1"/>
    <col min="9" max="9" width="25.7109375" style="1" customWidth="1"/>
    <col min="10" max="10" width="10.5703125" style="1" customWidth="1"/>
    <col min="11" max="11" width="23.85546875" style="1" customWidth="1"/>
    <col min="12" max="12" width="12.42578125" style="1" customWidth="1"/>
    <col min="13" max="13" width="23.85546875" style="1" customWidth="1"/>
    <col min="14" max="14" width="12.42578125" style="1" customWidth="1"/>
    <col min="15" max="15" width="23.85546875" style="1" customWidth="1"/>
    <col min="16" max="16" width="12.42578125" style="1" customWidth="1"/>
    <col min="17" max="17" width="23.85546875" style="1" customWidth="1"/>
    <col min="18" max="18" width="10.5703125" style="1" customWidth="1"/>
    <col min="19" max="19" width="23.85546875" style="1" customWidth="1"/>
    <col min="20" max="20" width="12.42578125" style="1" customWidth="1"/>
    <col min="21" max="21" width="23.85546875" style="1" customWidth="1"/>
    <col min="22" max="22" width="12.42578125" style="1" customWidth="1"/>
    <col min="23" max="23" width="23.85546875" style="1" customWidth="1"/>
    <col min="24" max="24" width="10.5703125" style="1" bestFit="1" customWidth="1"/>
    <col min="25" max="25" width="21.7109375" style="1" bestFit="1" customWidth="1"/>
    <col min="26" max="26" width="12.42578125" style="1" bestFit="1" customWidth="1"/>
    <col min="27" max="27" width="23.85546875" style="2" bestFit="1" customWidth="1"/>
    <col min="28" max="28" width="12.42578125" style="1" bestFit="1" customWidth="1"/>
    <col min="29" max="29" width="23.85546875" style="1" bestFit="1" customWidth="1"/>
    <col min="30" max="30" width="12.42578125" style="1" bestFit="1" customWidth="1"/>
    <col min="31" max="31" width="25.7109375" style="1" bestFit="1" customWidth="1"/>
    <col min="32" max="32" width="10.5703125" style="1" bestFit="1" customWidth="1"/>
    <col min="33" max="33" width="23.85546875" style="1" bestFit="1" customWidth="1"/>
    <col min="34" max="16384" width="21.85546875" style="1"/>
  </cols>
  <sheetData>
    <row r="1" spans="1:33" ht="81" customHeight="1" thickBot="1" x14ac:dyDescent="0.3">
      <c r="A1" s="92" t="s">
        <v>0</v>
      </c>
      <c r="B1" s="95" t="s">
        <v>1</v>
      </c>
      <c r="C1" s="96"/>
      <c r="D1" s="85" t="s">
        <v>30</v>
      </c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7"/>
    </row>
    <row r="2" spans="1:33" ht="21" thickBot="1" x14ac:dyDescent="0.3">
      <c r="A2" s="93"/>
      <c r="B2" s="97"/>
      <c r="C2" s="98"/>
      <c r="D2" s="83" t="s">
        <v>20</v>
      </c>
      <c r="E2" s="84"/>
      <c r="F2" s="90" t="s">
        <v>21</v>
      </c>
      <c r="G2" s="91"/>
      <c r="H2" s="83" t="s">
        <v>6</v>
      </c>
      <c r="I2" s="84"/>
      <c r="J2" s="83" t="s">
        <v>7</v>
      </c>
      <c r="K2" s="84"/>
      <c r="L2" s="83" t="s">
        <v>8</v>
      </c>
      <c r="M2" s="84"/>
      <c r="N2" s="83" t="s">
        <v>9</v>
      </c>
      <c r="O2" s="84"/>
      <c r="P2" s="83" t="s">
        <v>10</v>
      </c>
      <c r="Q2" s="84"/>
      <c r="R2" s="83" t="s">
        <v>11</v>
      </c>
      <c r="S2" s="84"/>
      <c r="T2" s="83" t="s">
        <v>12</v>
      </c>
      <c r="U2" s="84"/>
      <c r="V2" s="83" t="s">
        <v>13</v>
      </c>
      <c r="W2" s="84"/>
      <c r="X2" s="88" t="s">
        <v>14</v>
      </c>
      <c r="Y2" s="89"/>
      <c r="Z2" s="83" t="s">
        <v>15</v>
      </c>
      <c r="AA2" s="84"/>
      <c r="AB2" s="83" t="s">
        <v>16</v>
      </c>
      <c r="AC2" s="84"/>
      <c r="AD2" s="83" t="s">
        <v>17</v>
      </c>
      <c r="AE2" s="84"/>
      <c r="AF2" s="83" t="s">
        <v>18</v>
      </c>
      <c r="AG2" s="84"/>
    </row>
    <row r="3" spans="1:33" ht="21" thickBot="1" x14ac:dyDescent="0.3">
      <c r="A3" s="94"/>
      <c r="B3" s="53" t="s">
        <v>3</v>
      </c>
      <c r="C3" s="59" t="s">
        <v>4</v>
      </c>
      <c r="D3" s="68" t="s">
        <v>3</v>
      </c>
      <c r="E3" s="69" t="s">
        <v>4</v>
      </c>
      <c r="F3" s="54" t="s">
        <v>3</v>
      </c>
      <c r="G3" s="69" t="s">
        <v>4</v>
      </c>
      <c r="H3" s="68" t="s">
        <v>3</v>
      </c>
      <c r="I3" s="69" t="s">
        <v>4</v>
      </c>
      <c r="J3" s="68" t="s">
        <v>3</v>
      </c>
      <c r="K3" s="69" t="s">
        <v>4</v>
      </c>
      <c r="L3" s="68" t="s">
        <v>3</v>
      </c>
      <c r="M3" s="69" t="s">
        <v>4</v>
      </c>
      <c r="N3" s="68" t="s">
        <v>3</v>
      </c>
      <c r="O3" s="69" t="s">
        <v>4</v>
      </c>
      <c r="P3" s="68" t="s">
        <v>3</v>
      </c>
      <c r="Q3" s="69" t="s">
        <v>4</v>
      </c>
      <c r="R3" s="68" t="s">
        <v>3</v>
      </c>
      <c r="S3" s="69" t="s">
        <v>4</v>
      </c>
      <c r="T3" s="68" t="s">
        <v>3</v>
      </c>
      <c r="U3" s="69" t="s">
        <v>4</v>
      </c>
      <c r="V3" s="68" t="s">
        <v>3</v>
      </c>
      <c r="W3" s="69" t="s">
        <v>4</v>
      </c>
      <c r="X3" s="70" t="s">
        <v>3</v>
      </c>
      <c r="Y3" s="71" t="s">
        <v>4</v>
      </c>
      <c r="Z3" s="70" t="s">
        <v>3</v>
      </c>
      <c r="AA3" s="55" t="s">
        <v>4</v>
      </c>
      <c r="AB3" s="70" t="s">
        <v>3</v>
      </c>
      <c r="AC3" s="71" t="s">
        <v>4</v>
      </c>
      <c r="AD3" s="70" t="s">
        <v>3</v>
      </c>
      <c r="AE3" s="71" t="s">
        <v>4</v>
      </c>
      <c r="AF3" s="70" t="s">
        <v>3</v>
      </c>
      <c r="AG3" s="71" t="s">
        <v>4</v>
      </c>
    </row>
    <row r="4" spans="1:33" ht="20.25" x14ac:dyDescent="0.25">
      <c r="A4" s="56">
        <v>46082</v>
      </c>
      <c r="B4" s="60">
        <f>D4+F4+H4+J4+L4+N4+P4+R4+T4+V4+X4+Z4+AB4+AD4+AF4</f>
        <v>17</v>
      </c>
      <c r="C4" s="61">
        <f>E4+G4+I4+K4+M4+O4+Q4+S4+U4+W4+Y4+AA4+AC4+AE4+AG4</f>
        <v>6785590</v>
      </c>
      <c r="D4" s="6">
        <v>0</v>
      </c>
      <c r="E4" s="7">
        <v>0</v>
      </c>
      <c r="F4" s="62">
        <v>2</v>
      </c>
      <c r="G4" s="63">
        <v>783070</v>
      </c>
      <c r="H4" s="6">
        <v>3</v>
      </c>
      <c r="I4" s="7">
        <v>1221000</v>
      </c>
      <c r="J4" s="6">
        <v>0</v>
      </c>
      <c r="K4" s="7">
        <v>0</v>
      </c>
      <c r="L4" s="6">
        <v>2</v>
      </c>
      <c r="M4" s="7">
        <v>1363000</v>
      </c>
      <c r="N4" s="6">
        <v>3</v>
      </c>
      <c r="O4" s="7">
        <v>750060</v>
      </c>
      <c r="P4" s="6">
        <v>3</v>
      </c>
      <c r="Q4" s="7">
        <v>735420</v>
      </c>
      <c r="R4" s="6">
        <v>0</v>
      </c>
      <c r="S4" s="7">
        <v>0</v>
      </c>
      <c r="T4" s="6">
        <v>0</v>
      </c>
      <c r="U4" s="7">
        <v>0</v>
      </c>
      <c r="V4" s="6">
        <v>0</v>
      </c>
      <c r="W4" s="7">
        <v>0</v>
      </c>
      <c r="X4" s="6">
        <v>0</v>
      </c>
      <c r="Y4" s="7">
        <v>0</v>
      </c>
      <c r="Z4" s="6">
        <v>0</v>
      </c>
      <c r="AA4" s="7">
        <v>0</v>
      </c>
      <c r="AB4" s="6">
        <v>0</v>
      </c>
      <c r="AC4" s="7">
        <v>0</v>
      </c>
      <c r="AD4" s="6">
        <v>4</v>
      </c>
      <c r="AE4" s="7">
        <v>1933040</v>
      </c>
      <c r="AF4" s="6">
        <v>0</v>
      </c>
      <c r="AG4" s="7">
        <v>0</v>
      </c>
    </row>
    <row r="5" spans="1:33" ht="20.25" x14ac:dyDescent="0.25">
      <c r="A5" s="32">
        <v>46083</v>
      </c>
      <c r="B5" s="60">
        <f>D5+F5+H5+J5+L5+N5+P5+R5+T5+V5+X5+Z5+AB5+AD5+AF5</f>
        <v>76</v>
      </c>
      <c r="C5" s="61">
        <f t="shared" ref="C5:C34" si="0">E5+G5+I5+K5+M5+O5+Q5+S5+U5+W5+Y5+AA5+AC5+AE5+AG5</f>
        <v>22915710</v>
      </c>
      <c r="D5" s="6">
        <v>14</v>
      </c>
      <c r="E5" s="7">
        <v>5582500</v>
      </c>
      <c r="F5" s="6">
        <v>0</v>
      </c>
      <c r="G5" s="7">
        <v>0</v>
      </c>
      <c r="H5" s="6">
        <v>28</v>
      </c>
      <c r="I5" s="7">
        <v>6701660</v>
      </c>
      <c r="J5" s="6">
        <v>0</v>
      </c>
      <c r="K5" s="7">
        <v>0</v>
      </c>
      <c r="L5" s="6">
        <v>0</v>
      </c>
      <c r="M5" s="7">
        <v>0</v>
      </c>
      <c r="N5" s="6">
        <v>7</v>
      </c>
      <c r="O5" s="7">
        <v>1949950</v>
      </c>
      <c r="P5" s="6">
        <v>2</v>
      </c>
      <c r="Q5" s="7">
        <v>518080</v>
      </c>
      <c r="R5" s="6">
        <v>0</v>
      </c>
      <c r="S5" s="7">
        <v>0</v>
      </c>
      <c r="T5" s="6">
        <v>1</v>
      </c>
      <c r="U5" s="7">
        <v>429000</v>
      </c>
      <c r="V5" s="6">
        <v>1</v>
      </c>
      <c r="W5" s="7">
        <v>90390</v>
      </c>
      <c r="X5" s="6">
        <v>1</v>
      </c>
      <c r="Y5" s="7">
        <v>258610</v>
      </c>
      <c r="Z5" s="6">
        <v>5</v>
      </c>
      <c r="AA5" s="7">
        <v>979120</v>
      </c>
      <c r="AB5" s="6">
        <v>4</v>
      </c>
      <c r="AC5" s="7">
        <v>1059990</v>
      </c>
      <c r="AD5" s="6">
        <v>12</v>
      </c>
      <c r="AE5" s="7">
        <v>5042200</v>
      </c>
      <c r="AF5" s="6">
        <v>1</v>
      </c>
      <c r="AG5" s="7">
        <v>304210</v>
      </c>
    </row>
    <row r="6" spans="1:33" ht="20.25" x14ac:dyDescent="0.25">
      <c r="A6" s="31">
        <v>46084</v>
      </c>
      <c r="B6" s="60">
        <f t="shared" ref="B6:B34" si="1">D6+F6+H6+J6+L6+N6+P6+R6+T6+V6+X6+Z6+AB6+AD6+AF6</f>
        <v>131</v>
      </c>
      <c r="C6" s="61">
        <f t="shared" si="0"/>
        <v>33978240</v>
      </c>
      <c r="D6" s="6">
        <v>4</v>
      </c>
      <c r="E6" s="7">
        <v>1626420</v>
      </c>
      <c r="F6" s="6">
        <v>3</v>
      </c>
      <c r="G6" s="7">
        <v>748890</v>
      </c>
      <c r="H6" s="6">
        <v>45</v>
      </c>
      <c r="I6" s="7">
        <v>9699470</v>
      </c>
      <c r="J6" s="6">
        <v>0</v>
      </c>
      <c r="K6" s="7">
        <v>0</v>
      </c>
      <c r="L6" s="6">
        <v>0</v>
      </c>
      <c r="M6" s="7">
        <v>0</v>
      </c>
      <c r="N6" s="6">
        <v>18</v>
      </c>
      <c r="O6" s="72">
        <v>5336820</v>
      </c>
      <c r="P6" s="6">
        <v>16</v>
      </c>
      <c r="Q6" s="7">
        <v>4433690</v>
      </c>
      <c r="R6" s="6">
        <v>0</v>
      </c>
      <c r="S6" s="7">
        <v>0</v>
      </c>
      <c r="T6" s="6">
        <v>4</v>
      </c>
      <c r="U6" s="7">
        <v>833930</v>
      </c>
      <c r="V6" s="6">
        <v>11</v>
      </c>
      <c r="W6" s="7">
        <v>2362170</v>
      </c>
      <c r="X6" s="6">
        <v>0</v>
      </c>
      <c r="Y6" s="7">
        <v>0</v>
      </c>
      <c r="Z6" s="6">
        <v>11</v>
      </c>
      <c r="AA6" s="7">
        <v>1965360</v>
      </c>
      <c r="AB6" s="6">
        <v>12</v>
      </c>
      <c r="AC6" s="7">
        <v>5450310</v>
      </c>
      <c r="AD6" s="6">
        <v>2</v>
      </c>
      <c r="AE6" s="7">
        <v>408700</v>
      </c>
      <c r="AF6" s="6">
        <v>5</v>
      </c>
      <c r="AG6" s="7">
        <v>1112480</v>
      </c>
    </row>
    <row r="7" spans="1:33" ht="20.25" x14ac:dyDescent="0.25">
      <c r="A7" s="32">
        <v>46085</v>
      </c>
      <c r="B7" s="60">
        <f t="shared" si="1"/>
        <v>105</v>
      </c>
      <c r="C7" s="61">
        <f>E7+G7+I7+K7+M7+O7+Q7+S7+U7+W7+Y7+AA7+AC7+AE7+AG7</f>
        <v>22933160</v>
      </c>
      <c r="D7" s="6">
        <v>16</v>
      </c>
      <c r="E7" s="7">
        <v>5049290</v>
      </c>
      <c r="F7" s="6">
        <v>0</v>
      </c>
      <c r="G7" s="7">
        <v>0</v>
      </c>
      <c r="H7" s="6">
        <v>63</v>
      </c>
      <c r="I7" s="7">
        <v>10882890</v>
      </c>
      <c r="J7" s="6">
        <v>1</v>
      </c>
      <c r="K7" s="7">
        <v>171090</v>
      </c>
      <c r="L7" s="6">
        <v>0</v>
      </c>
      <c r="M7" s="7">
        <v>0</v>
      </c>
      <c r="N7" s="6">
        <v>4</v>
      </c>
      <c r="O7" s="7">
        <v>1581710</v>
      </c>
      <c r="P7" s="6">
        <v>2</v>
      </c>
      <c r="Q7" s="7">
        <v>697100</v>
      </c>
      <c r="R7" s="6">
        <v>0</v>
      </c>
      <c r="S7" s="7">
        <v>0</v>
      </c>
      <c r="T7" s="6">
        <v>5</v>
      </c>
      <c r="U7" s="7">
        <v>1203290</v>
      </c>
      <c r="V7" s="6">
        <v>1</v>
      </c>
      <c r="W7" s="7">
        <v>304210</v>
      </c>
      <c r="X7" s="6">
        <v>0</v>
      </c>
      <c r="Y7" s="7">
        <v>0</v>
      </c>
      <c r="Z7" s="6">
        <v>4</v>
      </c>
      <c r="AA7" s="7">
        <v>771460</v>
      </c>
      <c r="AB7" s="6">
        <v>5</v>
      </c>
      <c r="AC7" s="7">
        <v>856110</v>
      </c>
      <c r="AD7" s="6">
        <v>4</v>
      </c>
      <c r="AE7" s="7">
        <v>1416010</v>
      </c>
      <c r="AF7" s="6">
        <v>0</v>
      </c>
      <c r="AG7" s="7">
        <v>0</v>
      </c>
    </row>
    <row r="8" spans="1:33" ht="20.25" x14ac:dyDescent="0.25">
      <c r="A8" s="31">
        <v>46086</v>
      </c>
      <c r="B8" s="60">
        <f t="shared" si="1"/>
        <v>78</v>
      </c>
      <c r="C8" s="61">
        <f t="shared" si="0"/>
        <v>23003730</v>
      </c>
      <c r="D8" s="6">
        <v>8</v>
      </c>
      <c r="E8" s="7">
        <v>2600910</v>
      </c>
      <c r="F8" s="6">
        <v>6</v>
      </c>
      <c r="G8" s="7">
        <v>1372890</v>
      </c>
      <c r="H8" s="6">
        <v>33</v>
      </c>
      <c r="I8" s="7">
        <v>6599770</v>
      </c>
      <c r="J8" s="6">
        <v>2</v>
      </c>
      <c r="K8" s="7">
        <v>493100</v>
      </c>
      <c r="L8" s="6">
        <v>2</v>
      </c>
      <c r="M8" s="7">
        <v>553640</v>
      </c>
      <c r="N8" s="6">
        <v>3</v>
      </c>
      <c r="O8" s="7">
        <v>695210</v>
      </c>
      <c r="P8" s="6">
        <v>3</v>
      </c>
      <c r="Q8" s="7">
        <v>1581810</v>
      </c>
      <c r="R8" s="6">
        <v>0</v>
      </c>
      <c r="S8" s="7">
        <v>0</v>
      </c>
      <c r="T8" s="6">
        <v>6</v>
      </c>
      <c r="U8" s="7">
        <v>2610340</v>
      </c>
      <c r="V8" s="6">
        <v>0</v>
      </c>
      <c r="W8" s="7">
        <v>0</v>
      </c>
      <c r="X8" s="6">
        <v>0</v>
      </c>
      <c r="Y8" s="7">
        <v>0</v>
      </c>
      <c r="Z8" s="6">
        <v>10</v>
      </c>
      <c r="AA8" s="7">
        <v>2393330</v>
      </c>
      <c r="AB8" s="6">
        <v>1</v>
      </c>
      <c r="AC8" s="7">
        <v>142980</v>
      </c>
      <c r="AD8" s="6">
        <v>4</v>
      </c>
      <c r="AE8" s="7">
        <v>3959750</v>
      </c>
      <c r="AF8" s="6">
        <v>0</v>
      </c>
      <c r="AG8" s="7">
        <v>0</v>
      </c>
    </row>
    <row r="9" spans="1:33" ht="20.25" x14ac:dyDescent="0.25">
      <c r="A9" s="31">
        <v>46087</v>
      </c>
      <c r="B9" s="60">
        <f t="shared" si="1"/>
        <v>114</v>
      </c>
      <c r="C9" s="61">
        <f t="shared" si="0"/>
        <v>33251310</v>
      </c>
      <c r="D9" s="6">
        <v>41</v>
      </c>
      <c r="E9" s="7">
        <v>10442870</v>
      </c>
      <c r="F9" s="6">
        <v>7</v>
      </c>
      <c r="G9" s="7">
        <v>1200670</v>
      </c>
      <c r="H9" s="6">
        <v>28</v>
      </c>
      <c r="I9" s="7">
        <v>6772450</v>
      </c>
      <c r="J9" s="6">
        <v>0</v>
      </c>
      <c r="K9" s="7">
        <v>0</v>
      </c>
      <c r="L9" s="6">
        <v>3</v>
      </c>
      <c r="M9" s="7">
        <v>1351100</v>
      </c>
      <c r="N9" s="6">
        <v>2</v>
      </c>
      <c r="O9" s="7">
        <v>740380</v>
      </c>
      <c r="P9" s="6">
        <v>2</v>
      </c>
      <c r="Q9" s="7">
        <v>490280</v>
      </c>
      <c r="R9" s="6">
        <v>1</v>
      </c>
      <c r="S9" s="7">
        <v>200060</v>
      </c>
      <c r="T9" s="6">
        <v>8</v>
      </c>
      <c r="U9" s="7">
        <v>2519750</v>
      </c>
      <c r="V9" s="6">
        <v>2</v>
      </c>
      <c r="W9" s="7">
        <v>754960</v>
      </c>
      <c r="X9" s="6">
        <v>0</v>
      </c>
      <c r="Y9" s="7">
        <v>0</v>
      </c>
      <c r="Z9" s="6">
        <v>1</v>
      </c>
      <c r="AA9" s="7">
        <v>150090</v>
      </c>
      <c r="AB9" s="6">
        <v>11</v>
      </c>
      <c r="AC9" s="7">
        <v>6958460</v>
      </c>
      <c r="AD9" s="6">
        <v>8</v>
      </c>
      <c r="AE9" s="7">
        <v>1670240</v>
      </c>
      <c r="AF9" s="6">
        <v>0</v>
      </c>
      <c r="AG9" s="7">
        <v>0</v>
      </c>
    </row>
    <row r="10" spans="1:33" ht="20.25" x14ac:dyDescent="0.25">
      <c r="A10" s="31">
        <v>46088</v>
      </c>
      <c r="B10" s="60">
        <f t="shared" si="1"/>
        <v>89</v>
      </c>
      <c r="C10" s="61">
        <f t="shared" si="0"/>
        <v>23734480</v>
      </c>
      <c r="D10" s="6">
        <v>24</v>
      </c>
      <c r="E10" s="7">
        <v>7618880</v>
      </c>
      <c r="F10" s="6">
        <v>0</v>
      </c>
      <c r="G10" s="7">
        <v>0</v>
      </c>
      <c r="H10" s="6">
        <v>3</v>
      </c>
      <c r="I10" s="7">
        <v>568440</v>
      </c>
      <c r="J10" s="6">
        <v>0</v>
      </c>
      <c r="K10" s="7">
        <v>0</v>
      </c>
      <c r="L10" s="6">
        <v>0</v>
      </c>
      <c r="M10" s="7">
        <v>0</v>
      </c>
      <c r="N10" s="6">
        <v>4</v>
      </c>
      <c r="O10" s="72">
        <v>1062540</v>
      </c>
      <c r="P10" s="6">
        <v>4</v>
      </c>
      <c r="Q10" s="7">
        <v>980560</v>
      </c>
      <c r="R10" s="6">
        <v>1</v>
      </c>
      <c r="S10" s="7">
        <v>192310</v>
      </c>
      <c r="T10" s="6">
        <v>8</v>
      </c>
      <c r="U10" s="7">
        <v>1733800</v>
      </c>
      <c r="V10" s="6">
        <v>1</v>
      </c>
      <c r="W10" s="7">
        <v>141410</v>
      </c>
      <c r="X10" s="6">
        <v>0</v>
      </c>
      <c r="Y10" s="7">
        <v>0</v>
      </c>
      <c r="Z10" s="6">
        <v>3</v>
      </c>
      <c r="AA10" s="7">
        <v>471300</v>
      </c>
      <c r="AB10" s="6">
        <v>0</v>
      </c>
      <c r="AC10" s="7">
        <v>0</v>
      </c>
      <c r="AD10" s="6">
        <v>38</v>
      </c>
      <c r="AE10" s="7">
        <v>10381410</v>
      </c>
      <c r="AF10" s="6">
        <v>3</v>
      </c>
      <c r="AG10" s="7">
        <v>583830</v>
      </c>
    </row>
    <row r="11" spans="1:33" ht="20.25" x14ac:dyDescent="0.25">
      <c r="A11" s="32">
        <v>46089</v>
      </c>
      <c r="B11" s="60">
        <f t="shared" si="1"/>
        <v>28</v>
      </c>
      <c r="C11" s="61">
        <f t="shared" si="0"/>
        <v>7666200</v>
      </c>
      <c r="D11" s="6">
        <v>0</v>
      </c>
      <c r="E11" s="7">
        <v>0</v>
      </c>
      <c r="F11" s="6">
        <v>1</v>
      </c>
      <c r="G11" s="7">
        <v>215650</v>
      </c>
      <c r="H11" s="6">
        <v>0</v>
      </c>
      <c r="I11" s="7">
        <v>0</v>
      </c>
      <c r="J11" s="6">
        <v>2</v>
      </c>
      <c r="K11" s="7">
        <v>508740</v>
      </c>
      <c r="L11" s="6">
        <v>0</v>
      </c>
      <c r="M11" s="7">
        <v>0</v>
      </c>
      <c r="N11" s="6">
        <v>2</v>
      </c>
      <c r="O11" s="7">
        <v>740380</v>
      </c>
      <c r="P11" s="6">
        <v>0</v>
      </c>
      <c r="Q11" s="7">
        <v>0</v>
      </c>
      <c r="R11" s="6">
        <v>0</v>
      </c>
      <c r="S11" s="7">
        <v>0</v>
      </c>
      <c r="T11" s="6">
        <v>4</v>
      </c>
      <c r="U11" s="7">
        <v>958320</v>
      </c>
      <c r="V11" s="6">
        <v>0</v>
      </c>
      <c r="W11" s="7">
        <v>0</v>
      </c>
      <c r="X11" s="6">
        <v>0</v>
      </c>
      <c r="Y11" s="7">
        <v>0</v>
      </c>
      <c r="Z11" s="6">
        <v>1</v>
      </c>
      <c r="AA11" s="7">
        <v>202920</v>
      </c>
      <c r="AB11" s="6">
        <v>2</v>
      </c>
      <c r="AC11" s="7">
        <v>1656050</v>
      </c>
      <c r="AD11" s="6">
        <v>16</v>
      </c>
      <c r="AE11" s="7">
        <v>3384140</v>
      </c>
      <c r="AF11" s="6">
        <v>0</v>
      </c>
      <c r="AG11" s="7">
        <v>0</v>
      </c>
    </row>
    <row r="12" spans="1:33" ht="20.25" x14ac:dyDescent="0.25">
      <c r="A12" s="31">
        <v>46090</v>
      </c>
      <c r="B12" s="60">
        <f t="shared" si="1"/>
        <v>19</v>
      </c>
      <c r="C12" s="61">
        <f t="shared" si="0"/>
        <v>7678110</v>
      </c>
      <c r="D12" s="6">
        <v>0</v>
      </c>
      <c r="E12" s="7">
        <v>0</v>
      </c>
      <c r="F12" s="6">
        <v>0</v>
      </c>
      <c r="G12" s="7">
        <v>0</v>
      </c>
      <c r="H12" s="6">
        <v>7</v>
      </c>
      <c r="I12" s="7">
        <v>2525140</v>
      </c>
      <c r="J12" s="6">
        <v>1</v>
      </c>
      <c r="K12" s="7">
        <v>171090</v>
      </c>
      <c r="L12" s="6">
        <v>2</v>
      </c>
      <c r="M12" s="7">
        <v>553640</v>
      </c>
      <c r="N12" s="6">
        <v>1</v>
      </c>
      <c r="O12" s="7">
        <v>258610</v>
      </c>
      <c r="P12" s="6">
        <v>0</v>
      </c>
      <c r="Q12" s="7">
        <v>0</v>
      </c>
      <c r="R12" s="6">
        <v>0</v>
      </c>
      <c r="S12" s="7">
        <v>0</v>
      </c>
      <c r="T12" s="6">
        <v>1</v>
      </c>
      <c r="U12" s="7">
        <v>246550</v>
      </c>
      <c r="V12" s="6">
        <v>1</v>
      </c>
      <c r="W12" s="7">
        <v>216700</v>
      </c>
      <c r="X12" s="6">
        <v>0</v>
      </c>
      <c r="Y12" s="7">
        <v>0</v>
      </c>
      <c r="Z12" s="6">
        <v>4</v>
      </c>
      <c r="AA12" s="7">
        <v>843090</v>
      </c>
      <c r="AB12" s="6">
        <v>2</v>
      </c>
      <c r="AC12" s="7">
        <v>2863290</v>
      </c>
      <c r="AD12" s="6">
        <v>0</v>
      </c>
      <c r="AE12" s="7">
        <v>0</v>
      </c>
      <c r="AF12" s="6">
        <v>0</v>
      </c>
      <c r="AG12" s="7">
        <v>0</v>
      </c>
    </row>
    <row r="13" spans="1:33" ht="20.25" x14ac:dyDescent="0.25">
      <c r="A13" s="32">
        <v>46091</v>
      </c>
      <c r="B13" s="60">
        <f t="shared" si="1"/>
        <v>134</v>
      </c>
      <c r="C13" s="61">
        <f t="shared" si="0"/>
        <v>37249410</v>
      </c>
      <c r="D13" s="6">
        <v>22</v>
      </c>
      <c r="E13" s="7">
        <v>5886450</v>
      </c>
      <c r="F13" s="6">
        <v>3</v>
      </c>
      <c r="G13" s="7">
        <v>897900</v>
      </c>
      <c r="H13" s="6">
        <v>31</v>
      </c>
      <c r="I13" s="7">
        <v>8414280</v>
      </c>
      <c r="J13" s="6">
        <v>0</v>
      </c>
      <c r="K13" s="7">
        <v>0</v>
      </c>
      <c r="L13" s="6">
        <v>1</v>
      </c>
      <c r="M13" s="7">
        <v>276820</v>
      </c>
      <c r="N13" s="6">
        <v>20</v>
      </c>
      <c r="O13" s="7">
        <v>5978180</v>
      </c>
      <c r="P13" s="6">
        <v>4</v>
      </c>
      <c r="Q13" s="7">
        <v>896120</v>
      </c>
      <c r="R13" s="6">
        <v>0</v>
      </c>
      <c r="S13" s="7">
        <v>0</v>
      </c>
      <c r="T13" s="6">
        <v>6</v>
      </c>
      <c r="U13" s="7">
        <v>1344380</v>
      </c>
      <c r="V13" s="6">
        <v>1</v>
      </c>
      <c r="W13" s="7">
        <v>216700</v>
      </c>
      <c r="X13" s="6">
        <v>0</v>
      </c>
      <c r="Y13" s="7">
        <v>0</v>
      </c>
      <c r="Z13" s="6">
        <v>9</v>
      </c>
      <c r="AA13" s="7">
        <v>1730250</v>
      </c>
      <c r="AB13" s="6">
        <v>0</v>
      </c>
      <c r="AC13" s="7">
        <v>0</v>
      </c>
      <c r="AD13" s="6">
        <v>37</v>
      </c>
      <c r="AE13" s="7">
        <v>11608330</v>
      </c>
      <c r="AF13" s="6">
        <v>0</v>
      </c>
      <c r="AG13" s="7">
        <v>0</v>
      </c>
    </row>
    <row r="14" spans="1:33" ht="20.25" x14ac:dyDescent="0.25">
      <c r="A14" s="31">
        <v>46092</v>
      </c>
      <c r="B14" s="60">
        <f t="shared" si="1"/>
        <v>119</v>
      </c>
      <c r="C14" s="61">
        <f t="shared" si="0"/>
        <v>38577410</v>
      </c>
      <c r="D14" s="6">
        <v>5</v>
      </c>
      <c r="E14" s="7">
        <v>1026280</v>
      </c>
      <c r="F14" s="6">
        <v>1</v>
      </c>
      <c r="G14" s="7">
        <v>142980</v>
      </c>
      <c r="H14" s="6">
        <v>53</v>
      </c>
      <c r="I14" s="7">
        <v>13640690</v>
      </c>
      <c r="J14" s="6">
        <v>0</v>
      </c>
      <c r="K14" s="7">
        <v>0</v>
      </c>
      <c r="L14" s="6">
        <v>7</v>
      </c>
      <c r="M14" s="2">
        <v>2350280</v>
      </c>
      <c r="N14" s="6">
        <v>5</v>
      </c>
      <c r="O14" s="72">
        <v>1348940</v>
      </c>
      <c r="P14" s="6">
        <v>0</v>
      </c>
      <c r="Q14" s="7">
        <v>0</v>
      </c>
      <c r="R14" s="6">
        <v>0</v>
      </c>
      <c r="S14" s="7">
        <v>0</v>
      </c>
      <c r="T14" s="6">
        <v>2</v>
      </c>
      <c r="U14" s="7">
        <v>462060</v>
      </c>
      <c r="V14" s="6">
        <v>21</v>
      </c>
      <c r="W14" s="7">
        <v>5705830</v>
      </c>
      <c r="X14" s="6"/>
      <c r="Y14" s="7"/>
      <c r="Z14" s="6">
        <v>2</v>
      </c>
      <c r="AA14" s="7">
        <v>458130</v>
      </c>
      <c r="AB14" s="6">
        <v>1</v>
      </c>
      <c r="AC14" s="7">
        <v>136100</v>
      </c>
      <c r="AD14" s="6">
        <v>19</v>
      </c>
      <c r="AE14" s="7">
        <v>12718880</v>
      </c>
      <c r="AF14" s="6">
        <v>3</v>
      </c>
      <c r="AG14" s="7">
        <v>587240</v>
      </c>
    </row>
    <row r="15" spans="1:33" ht="20.25" x14ac:dyDescent="0.25">
      <c r="A15" s="32">
        <v>46093</v>
      </c>
      <c r="B15" s="60">
        <f t="shared" si="1"/>
        <v>0</v>
      </c>
      <c r="C15" s="61">
        <f t="shared" si="0"/>
        <v>0</v>
      </c>
      <c r="D15" s="6">
        <v>0</v>
      </c>
      <c r="E15" s="7">
        <v>0</v>
      </c>
      <c r="F15" s="6">
        <v>0</v>
      </c>
      <c r="G15" s="7">
        <v>0</v>
      </c>
      <c r="H15" s="6">
        <v>0</v>
      </c>
      <c r="I15" s="7">
        <v>0</v>
      </c>
      <c r="J15" s="6">
        <v>0</v>
      </c>
      <c r="K15" s="7">
        <v>0</v>
      </c>
      <c r="L15" s="6">
        <v>0</v>
      </c>
      <c r="M15" s="7">
        <v>0</v>
      </c>
      <c r="N15" s="6">
        <v>0</v>
      </c>
      <c r="O15" s="7">
        <v>0</v>
      </c>
      <c r="P15" s="6">
        <v>0</v>
      </c>
      <c r="Q15" s="7">
        <v>0</v>
      </c>
      <c r="R15" s="6">
        <v>0</v>
      </c>
      <c r="S15" s="7">
        <v>0</v>
      </c>
      <c r="T15" s="6">
        <v>0</v>
      </c>
      <c r="U15" s="7">
        <v>0</v>
      </c>
      <c r="V15" s="6">
        <v>0</v>
      </c>
      <c r="W15" s="7">
        <v>0</v>
      </c>
      <c r="X15" s="6">
        <v>0</v>
      </c>
      <c r="Y15" s="7">
        <v>0</v>
      </c>
      <c r="Z15" s="6">
        <v>0</v>
      </c>
      <c r="AA15" s="7">
        <v>0</v>
      </c>
      <c r="AB15" s="6">
        <v>0</v>
      </c>
      <c r="AC15" s="7">
        <v>0</v>
      </c>
      <c r="AD15" s="6">
        <v>0</v>
      </c>
      <c r="AE15" s="7">
        <v>0</v>
      </c>
      <c r="AF15" s="6">
        <v>0</v>
      </c>
      <c r="AG15" s="7">
        <v>0</v>
      </c>
    </row>
    <row r="16" spans="1:33" ht="20.25" x14ac:dyDescent="0.25">
      <c r="A16" s="31">
        <v>46094</v>
      </c>
      <c r="B16" s="60">
        <f t="shared" si="1"/>
        <v>1</v>
      </c>
      <c r="C16" s="61">
        <f t="shared" si="0"/>
        <v>429000</v>
      </c>
      <c r="D16" s="6">
        <v>1</v>
      </c>
      <c r="E16" s="7">
        <v>429000</v>
      </c>
      <c r="F16" s="6">
        <v>0</v>
      </c>
      <c r="G16" s="7">
        <v>0</v>
      </c>
      <c r="H16" s="6">
        <v>0</v>
      </c>
      <c r="I16" s="7">
        <v>0</v>
      </c>
      <c r="J16" s="6">
        <v>0</v>
      </c>
      <c r="K16" s="7">
        <v>0</v>
      </c>
      <c r="L16" s="6">
        <v>0</v>
      </c>
      <c r="M16" s="7">
        <v>0</v>
      </c>
      <c r="N16" s="6">
        <v>0</v>
      </c>
      <c r="O16" s="7">
        <v>0</v>
      </c>
      <c r="P16" s="6">
        <v>0</v>
      </c>
      <c r="Q16" s="7">
        <v>0</v>
      </c>
      <c r="R16" s="6">
        <v>0</v>
      </c>
      <c r="S16" s="7">
        <v>0</v>
      </c>
      <c r="T16" s="6">
        <v>0</v>
      </c>
      <c r="U16" s="7">
        <v>0</v>
      </c>
      <c r="V16" s="6">
        <v>0</v>
      </c>
      <c r="W16" s="7">
        <v>0</v>
      </c>
      <c r="X16" s="6">
        <v>0</v>
      </c>
      <c r="Y16" s="7">
        <v>0</v>
      </c>
      <c r="Z16" s="6">
        <v>0</v>
      </c>
      <c r="AA16" s="7">
        <v>0</v>
      </c>
      <c r="AB16" s="6">
        <v>0</v>
      </c>
      <c r="AC16" s="7">
        <v>0</v>
      </c>
      <c r="AD16" s="6">
        <v>0</v>
      </c>
      <c r="AE16" s="7">
        <v>0</v>
      </c>
      <c r="AF16" s="6">
        <v>0</v>
      </c>
      <c r="AG16" s="7">
        <v>0</v>
      </c>
    </row>
    <row r="17" spans="1:33" ht="20.25" x14ac:dyDescent="0.25">
      <c r="A17" s="32">
        <v>46095</v>
      </c>
      <c r="B17" s="60">
        <f t="shared" si="1"/>
        <v>22</v>
      </c>
      <c r="C17" s="61">
        <f t="shared" si="0"/>
        <v>4947560</v>
      </c>
      <c r="D17" s="6">
        <v>21</v>
      </c>
      <c r="E17" s="7">
        <v>4769880</v>
      </c>
      <c r="F17" s="6">
        <v>0</v>
      </c>
      <c r="G17" s="7">
        <v>0</v>
      </c>
      <c r="H17" s="6">
        <v>0</v>
      </c>
      <c r="I17" s="7">
        <v>0</v>
      </c>
      <c r="J17" s="6">
        <v>0</v>
      </c>
      <c r="K17" s="7">
        <v>0</v>
      </c>
      <c r="L17" s="6">
        <v>0</v>
      </c>
      <c r="M17" s="7">
        <v>0</v>
      </c>
      <c r="N17" s="6">
        <v>0</v>
      </c>
      <c r="O17" s="7">
        <v>0</v>
      </c>
      <c r="P17" s="6">
        <v>0</v>
      </c>
      <c r="Q17" s="7">
        <v>0</v>
      </c>
      <c r="R17" s="6">
        <v>0</v>
      </c>
      <c r="S17" s="7">
        <v>0</v>
      </c>
      <c r="T17" s="6">
        <v>0</v>
      </c>
      <c r="U17" s="7">
        <v>0</v>
      </c>
      <c r="V17" s="6">
        <v>0</v>
      </c>
      <c r="W17" s="7">
        <v>0</v>
      </c>
      <c r="X17" s="6">
        <v>0</v>
      </c>
      <c r="Y17" s="7">
        <v>0</v>
      </c>
      <c r="Z17" s="6">
        <v>0</v>
      </c>
      <c r="AA17" s="7">
        <v>0</v>
      </c>
      <c r="AB17" s="6">
        <v>0</v>
      </c>
      <c r="AC17" s="7">
        <v>0</v>
      </c>
      <c r="AD17" s="6">
        <v>0</v>
      </c>
      <c r="AE17" s="7">
        <v>0</v>
      </c>
      <c r="AF17" s="6">
        <v>1</v>
      </c>
      <c r="AG17" s="7">
        <v>177680</v>
      </c>
    </row>
    <row r="18" spans="1:33" ht="20.25" x14ac:dyDescent="0.25">
      <c r="A18" s="31">
        <v>46096</v>
      </c>
      <c r="B18" s="60">
        <f t="shared" si="1"/>
        <v>2</v>
      </c>
      <c r="C18" s="61">
        <f t="shared" si="0"/>
        <v>490280</v>
      </c>
      <c r="D18" s="6">
        <v>0</v>
      </c>
      <c r="E18" s="7">
        <v>0</v>
      </c>
      <c r="F18" s="6">
        <v>0</v>
      </c>
      <c r="G18" s="7">
        <v>0</v>
      </c>
      <c r="H18" s="6">
        <v>0</v>
      </c>
      <c r="I18" s="7">
        <v>0</v>
      </c>
      <c r="J18" s="6">
        <v>0</v>
      </c>
      <c r="K18" s="7">
        <v>0</v>
      </c>
      <c r="L18" s="6">
        <v>0</v>
      </c>
      <c r="M18" s="7">
        <v>0</v>
      </c>
      <c r="N18" s="6">
        <v>0</v>
      </c>
      <c r="O18" s="7">
        <v>0</v>
      </c>
      <c r="P18" s="6">
        <v>0</v>
      </c>
      <c r="Q18" s="7">
        <v>0</v>
      </c>
      <c r="R18" s="6">
        <v>0</v>
      </c>
      <c r="S18" s="7">
        <v>0</v>
      </c>
      <c r="T18" s="6">
        <v>0</v>
      </c>
      <c r="U18" s="7">
        <v>0</v>
      </c>
      <c r="V18" s="6">
        <v>0</v>
      </c>
      <c r="W18" s="7">
        <v>0</v>
      </c>
      <c r="X18" s="6">
        <v>0</v>
      </c>
      <c r="Y18" s="7">
        <v>0</v>
      </c>
      <c r="Z18" s="6">
        <v>0</v>
      </c>
      <c r="AA18" s="7">
        <v>0</v>
      </c>
      <c r="AB18" s="6">
        <v>0</v>
      </c>
      <c r="AC18" s="7">
        <v>0</v>
      </c>
      <c r="AD18" s="6">
        <v>0</v>
      </c>
      <c r="AE18" s="7">
        <v>0</v>
      </c>
      <c r="AF18" s="6">
        <v>2</v>
      </c>
      <c r="AG18" s="7">
        <v>490280</v>
      </c>
    </row>
    <row r="19" spans="1:33" ht="20.25" x14ac:dyDescent="0.25">
      <c r="A19" s="32">
        <v>46097</v>
      </c>
      <c r="B19" s="60">
        <f t="shared" si="1"/>
        <v>31</v>
      </c>
      <c r="C19" s="61">
        <f t="shared" si="0"/>
        <v>7865360</v>
      </c>
      <c r="D19" s="6">
        <v>3</v>
      </c>
      <c r="E19" s="7">
        <v>1074710</v>
      </c>
      <c r="F19" s="6">
        <v>0</v>
      </c>
      <c r="G19" s="7">
        <v>0</v>
      </c>
      <c r="H19" s="6">
        <v>14</v>
      </c>
      <c r="I19" s="7">
        <v>3378570</v>
      </c>
      <c r="J19" s="6"/>
      <c r="K19" s="72"/>
      <c r="L19" s="6">
        <v>0</v>
      </c>
      <c r="M19" s="7">
        <v>0</v>
      </c>
      <c r="N19" s="6">
        <v>5</v>
      </c>
      <c r="O19" s="72">
        <v>1608850</v>
      </c>
      <c r="P19" s="6">
        <v>0</v>
      </c>
      <c r="Q19" s="7">
        <v>0</v>
      </c>
      <c r="R19" s="6">
        <v>0</v>
      </c>
      <c r="S19" s="7">
        <v>0</v>
      </c>
      <c r="T19" s="6">
        <v>4</v>
      </c>
      <c r="U19" s="7">
        <v>1017730</v>
      </c>
      <c r="V19" s="6">
        <v>0</v>
      </c>
      <c r="W19" s="7">
        <v>0</v>
      </c>
      <c r="X19" s="6">
        <v>0</v>
      </c>
      <c r="Y19" s="7">
        <v>0</v>
      </c>
      <c r="Z19" s="6">
        <v>5</v>
      </c>
      <c r="AA19" s="7">
        <v>785500</v>
      </c>
      <c r="AB19" s="6">
        <v>0</v>
      </c>
      <c r="AC19" s="7">
        <v>0</v>
      </c>
      <c r="AD19" s="6">
        <v>0</v>
      </c>
      <c r="AE19" s="7">
        <v>0</v>
      </c>
      <c r="AF19" s="6">
        <v>0</v>
      </c>
      <c r="AG19" s="7">
        <v>0</v>
      </c>
    </row>
    <row r="20" spans="1:33" ht="20.25" x14ac:dyDescent="0.25">
      <c r="A20" s="31">
        <v>46098</v>
      </c>
      <c r="B20" s="60">
        <f t="shared" si="1"/>
        <v>42</v>
      </c>
      <c r="C20" s="61">
        <f t="shared" si="0"/>
        <v>11170100</v>
      </c>
      <c r="D20" s="6">
        <v>7</v>
      </c>
      <c r="E20" s="7">
        <v>1830340</v>
      </c>
      <c r="F20" s="6">
        <v>0</v>
      </c>
      <c r="G20" s="7">
        <v>0</v>
      </c>
      <c r="H20" s="6">
        <v>0</v>
      </c>
      <c r="I20" s="7">
        <v>0</v>
      </c>
      <c r="J20" s="6">
        <v>1</v>
      </c>
      <c r="K20" s="7">
        <v>171090</v>
      </c>
      <c r="L20" s="6">
        <v>1</v>
      </c>
      <c r="M20" s="7">
        <v>276820</v>
      </c>
      <c r="N20" s="6">
        <v>8</v>
      </c>
      <c r="O20" s="7">
        <v>3077900</v>
      </c>
      <c r="P20" s="6">
        <v>1</v>
      </c>
      <c r="Q20" s="7">
        <v>245140</v>
      </c>
      <c r="R20" s="6">
        <v>1</v>
      </c>
      <c r="S20" s="7">
        <v>300560</v>
      </c>
      <c r="T20" s="6">
        <v>11</v>
      </c>
      <c r="U20" s="7">
        <v>2904950</v>
      </c>
      <c r="V20" s="6">
        <v>0</v>
      </c>
      <c r="W20" s="7">
        <v>0</v>
      </c>
      <c r="X20" s="6">
        <v>0</v>
      </c>
      <c r="Y20" s="7">
        <v>0</v>
      </c>
      <c r="Z20" s="6">
        <v>6</v>
      </c>
      <c r="AA20" s="7">
        <v>900540</v>
      </c>
      <c r="AB20" s="6">
        <v>0</v>
      </c>
      <c r="AC20" s="7">
        <v>0</v>
      </c>
      <c r="AD20" s="6">
        <v>6</v>
      </c>
      <c r="AE20" s="7">
        <v>1462760</v>
      </c>
      <c r="AF20" s="6">
        <v>0</v>
      </c>
      <c r="AG20" s="7">
        <v>0</v>
      </c>
    </row>
    <row r="21" spans="1:33" ht="20.25" x14ac:dyDescent="0.25">
      <c r="A21" s="32">
        <v>46099</v>
      </c>
      <c r="B21" s="60">
        <f t="shared" si="1"/>
        <v>25</v>
      </c>
      <c r="C21" s="61">
        <f t="shared" si="0"/>
        <v>6743960</v>
      </c>
      <c r="D21" s="6">
        <v>0</v>
      </c>
      <c r="E21" s="7">
        <v>0</v>
      </c>
      <c r="F21" s="6">
        <v>2</v>
      </c>
      <c r="G21" s="7">
        <v>1667040</v>
      </c>
      <c r="H21" s="6">
        <v>4</v>
      </c>
      <c r="I21" s="7">
        <v>879680</v>
      </c>
      <c r="J21" s="6">
        <v>0</v>
      </c>
      <c r="K21" s="7">
        <v>0</v>
      </c>
      <c r="L21" s="6">
        <v>1</v>
      </c>
      <c r="M21" s="7">
        <v>150090</v>
      </c>
      <c r="N21" s="6">
        <v>0</v>
      </c>
      <c r="O21" s="7">
        <v>0</v>
      </c>
      <c r="P21" s="6">
        <v>0</v>
      </c>
      <c r="Q21" s="7">
        <v>0</v>
      </c>
      <c r="R21" s="6">
        <v>1</v>
      </c>
      <c r="S21" s="7">
        <v>245140</v>
      </c>
      <c r="T21" s="6">
        <v>3</v>
      </c>
      <c r="U21" s="7">
        <v>381740</v>
      </c>
      <c r="V21" s="6">
        <v>1</v>
      </c>
      <c r="W21" s="7">
        <v>304210</v>
      </c>
      <c r="X21" s="6">
        <v>0</v>
      </c>
      <c r="Y21" s="7">
        <v>0</v>
      </c>
      <c r="Z21" s="6">
        <v>5</v>
      </c>
      <c r="AA21" s="7">
        <v>1219580</v>
      </c>
      <c r="AB21" s="6">
        <v>0</v>
      </c>
      <c r="AC21" s="7">
        <v>0</v>
      </c>
      <c r="AD21" s="6">
        <v>8</v>
      </c>
      <c r="AE21" s="7">
        <v>1896480</v>
      </c>
      <c r="AF21" s="6">
        <v>0</v>
      </c>
      <c r="AG21" s="7">
        <v>0</v>
      </c>
    </row>
    <row r="22" spans="1:33" ht="20.25" x14ac:dyDescent="0.25">
      <c r="A22" s="31">
        <v>46100</v>
      </c>
      <c r="B22" s="60">
        <f t="shared" si="1"/>
        <v>41</v>
      </c>
      <c r="C22" s="61">
        <f t="shared" si="0"/>
        <v>8694770</v>
      </c>
      <c r="D22" s="6">
        <v>14</v>
      </c>
      <c r="E22" s="7">
        <v>3383040</v>
      </c>
      <c r="F22" s="6">
        <v>9</v>
      </c>
      <c r="G22" s="7">
        <v>1713760</v>
      </c>
      <c r="H22" s="6">
        <v>13</v>
      </c>
      <c r="I22" s="7">
        <v>2539670</v>
      </c>
      <c r="J22" s="6">
        <v>0</v>
      </c>
      <c r="K22" s="7">
        <v>0</v>
      </c>
      <c r="L22" s="6">
        <v>0</v>
      </c>
      <c r="M22" s="7">
        <v>0</v>
      </c>
      <c r="N22" s="6">
        <v>5</v>
      </c>
      <c r="O22" s="7">
        <v>1058300</v>
      </c>
      <c r="P22" s="6">
        <v>0</v>
      </c>
      <c r="Q22" s="7">
        <v>0</v>
      </c>
      <c r="R22" s="6">
        <v>0</v>
      </c>
      <c r="S22" s="7">
        <v>0</v>
      </c>
      <c r="T22" s="6">
        <v>0</v>
      </c>
      <c r="U22" s="7">
        <v>0</v>
      </c>
      <c r="V22" s="6">
        <v>0</v>
      </c>
      <c r="W22" s="7">
        <v>0</v>
      </c>
      <c r="X22" s="6">
        <v>0</v>
      </c>
      <c r="Y22" s="7">
        <v>0</v>
      </c>
      <c r="Z22" s="6">
        <v>0</v>
      </c>
      <c r="AA22" s="7">
        <v>0</v>
      </c>
      <c r="AB22" s="6">
        <v>0</v>
      </c>
      <c r="AC22" s="7">
        <v>0</v>
      </c>
      <c r="AD22" s="6">
        <v>0</v>
      </c>
      <c r="AE22" s="7">
        <v>0</v>
      </c>
      <c r="AF22" s="6">
        <v>0</v>
      </c>
      <c r="AG22" s="7">
        <v>0</v>
      </c>
    </row>
    <row r="23" spans="1:33" ht="20.25" x14ac:dyDescent="0.25">
      <c r="A23" s="32">
        <v>46101</v>
      </c>
      <c r="B23" s="60">
        <f t="shared" si="1"/>
        <v>16</v>
      </c>
      <c r="C23" s="61">
        <f t="shared" si="0"/>
        <v>3830490</v>
      </c>
      <c r="D23" s="6">
        <v>8</v>
      </c>
      <c r="E23" s="7">
        <v>2110280</v>
      </c>
      <c r="F23" s="6">
        <v>0</v>
      </c>
      <c r="G23" s="7">
        <v>0</v>
      </c>
      <c r="H23" s="6">
        <v>0</v>
      </c>
      <c r="I23" s="7">
        <v>0</v>
      </c>
      <c r="J23" s="6">
        <v>0</v>
      </c>
      <c r="K23" s="7">
        <v>0</v>
      </c>
      <c r="L23" s="6">
        <v>0</v>
      </c>
      <c r="M23" s="7">
        <v>0</v>
      </c>
      <c r="N23" s="6">
        <v>0</v>
      </c>
      <c r="O23" s="7">
        <v>0</v>
      </c>
      <c r="P23" s="6">
        <v>0</v>
      </c>
      <c r="Q23" s="7">
        <v>0</v>
      </c>
      <c r="R23" s="6">
        <v>0</v>
      </c>
      <c r="S23" s="7">
        <v>0</v>
      </c>
      <c r="T23" s="6">
        <v>1</v>
      </c>
      <c r="U23" s="7">
        <v>232610</v>
      </c>
      <c r="V23" s="6">
        <v>6</v>
      </c>
      <c r="W23" s="7">
        <v>1211470</v>
      </c>
      <c r="X23" s="6">
        <v>0</v>
      </c>
      <c r="Y23" s="7">
        <v>0</v>
      </c>
      <c r="Z23" s="6">
        <v>0</v>
      </c>
      <c r="AA23" s="7">
        <v>0</v>
      </c>
      <c r="AB23" s="6">
        <v>0</v>
      </c>
      <c r="AC23" s="7">
        <v>0</v>
      </c>
      <c r="AD23" s="6">
        <v>1</v>
      </c>
      <c r="AE23" s="7">
        <v>276130</v>
      </c>
      <c r="AF23" s="6">
        <v>0</v>
      </c>
      <c r="AG23" s="7">
        <v>0</v>
      </c>
    </row>
    <row r="24" spans="1:33" ht="20.25" x14ac:dyDescent="0.25">
      <c r="A24" s="31">
        <v>46102</v>
      </c>
      <c r="B24" s="60">
        <f t="shared" si="1"/>
        <v>16</v>
      </c>
      <c r="C24" s="61">
        <f t="shared" si="0"/>
        <v>4100230</v>
      </c>
      <c r="D24" s="6">
        <v>8</v>
      </c>
      <c r="E24" s="7">
        <v>2045670</v>
      </c>
      <c r="F24" s="6">
        <v>0</v>
      </c>
      <c r="G24" s="7">
        <v>0</v>
      </c>
      <c r="H24" s="6">
        <v>1</v>
      </c>
      <c r="I24" s="7">
        <v>221800</v>
      </c>
      <c r="J24" s="6">
        <v>0</v>
      </c>
      <c r="K24" s="7">
        <v>0</v>
      </c>
      <c r="L24" s="6">
        <v>0</v>
      </c>
      <c r="M24" s="7">
        <v>0</v>
      </c>
      <c r="N24" s="6">
        <v>4</v>
      </c>
      <c r="O24" s="7">
        <v>1089560</v>
      </c>
      <c r="P24" s="6">
        <v>0</v>
      </c>
      <c r="Q24" s="7">
        <v>0</v>
      </c>
      <c r="R24" s="6">
        <v>0</v>
      </c>
      <c r="S24" s="7">
        <v>0</v>
      </c>
      <c r="T24" s="6">
        <v>1</v>
      </c>
      <c r="U24" s="7">
        <v>429000</v>
      </c>
      <c r="V24" s="6">
        <v>0</v>
      </c>
      <c r="W24" s="7">
        <v>0</v>
      </c>
      <c r="X24" s="6">
        <v>0</v>
      </c>
      <c r="Y24" s="7">
        <v>0</v>
      </c>
      <c r="Z24" s="6">
        <v>2</v>
      </c>
      <c r="AA24" s="7">
        <v>314200</v>
      </c>
      <c r="AB24" s="6">
        <v>0</v>
      </c>
      <c r="AC24" s="7">
        <v>0</v>
      </c>
      <c r="AD24" s="6">
        <v>0</v>
      </c>
      <c r="AE24" s="7">
        <v>0</v>
      </c>
      <c r="AF24" s="6">
        <v>0</v>
      </c>
      <c r="AG24" s="7">
        <v>0</v>
      </c>
    </row>
    <row r="25" spans="1:33" ht="20.25" x14ac:dyDescent="0.25">
      <c r="A25" s="32">
        <v>46103</v>
      </c>
      <c r="B25" s="60">
        <f t="shared" si="1"/>
        <v>5</v>
      </c>
      <c r="C25" s="61">
        <f t="shared" si="0"/>
        <v>963880</v>
      </c>
      <c r="D25" s="6">
        <v>0</v>
      </c>
      <c r="E25" s="7">
        <v>0</v>
      </c>
      <c r="F25" s="6">
        <v>1</v>
      </c>
      <c r="G25" s="7">
        <v>150090</v>
      </c>
      <c r="H25" s="6">
        <v>0</v>
      </c>
      <c r="I25" s="7">
        <v>0</v>
      </c>
      <c r="J25" s="6">
        <v>0</v>
      </c>
      <c r="K25" s="7">
        <v>0</v>
      </c>
      <c r="L25" s="6">
        <v>0</v>
      </c>
      <c r="M25" s="7">
        <v>0</v>
      </c>
      <c r="N25" s="6">
        <v>0</v>
      </c>
      <c r="O25" s="7">
        <v>0</v>
      </c>
      <c r="P25" s="6">
        <v>0</v>
      </c>
      <c r="Q25" s="7">
        <v>0</v>
      </c>
      <c r="R25" s="6">
        <v>1</v>
      </c>
      <c r="S25" s="7">
        <v>348550</v>
      </c>
      <c r="T25" s="6">
        <v>1</v>
      </c>
      <c r="U25" s="7">
        <v>150090</v>
      </c>
      <c r="V25" s="6">
        <v>0</v>
      </c>
      <c r="W25" s="7">
        <v>0</v>
      </c>
      <c r="X25" s="6">
        <v>0</v>
      </c>
      <c r="Y25" s="7">
        <v>0</v>
      </c>
      <c r="Z25" s="6">
        <v>0</v>
      </c>
      <c r="AA25" s="7">
        <v>0</v>
      </c>
      <c r="AB25" s="6">
        <v>0</v>
      </c>
      <c r="AC25" s="7">
        <v>0</v>
      </c>
      <c r="AD25" s="6">
        <v>2</v>
      </c>
      <c r="AE25" s="7">
        <v>315150</v>
      </c>
      <c r="AF25" s="6">
        <v>0</v>
      </c>
      <c r="AG25" s="7">
        <v>0</v>
      </c>
    </row>
    <row r="26" spans="1:33" ht="20.25" x14ac:dyDescent="0.25">
      <c r="A26" s="31">
        <v>46104</v>
      </c>
      <c r="B26" s="60">
        <f t="shared" si="1"/>
        <v>52</v>
      </c>
      <c r="C26" s="61">
        <f t="shared" si="0"/>
        <v>12284800</v>
      </c>
      <c r="D26" s="6">
        <v>21</v>
      </c>
      <c r="E26" s="7">
        <v>5682000</v>
      </c>
      <c r="F26" s="6">
        <v>1</v>
      </c>
      <c r="G26" s="7">
        <v>243750</v>
      </c>
      <c r="H26" s="6">
        <v>0</v>
      </c>
      <c r="I26" s="7">
        <v>0</v>
      </c>
      <c r="J26" s="6">
        <v>0</v>
      </c>
      <c r="K26" s="7">
        <v>0</v>
      </c>
      <c r="L26" s="6">
        <v>3</v>
      </c>
      <c r="M26" s="7">
        <v>618500</v>
      </c>
      <c r="N26" s="6">
        <v>3</v>
      </c>
      <c r="O26" s="7">
        <v>533970</v>
      </c>
      <c r="P26" s="6">
        <v>4</v>
      </c>
      <c r="Q26" s="7">
        <v>888280</v>
      </c>
      <c r="R26" s="6">
        <v>0</v>
      </c>
      <c r="S26" s="7">
        <v>0</v>
      </c>
      <c r="T26" s="6">
        <v>6</v>
      </c>
      <c r="U26" s="7">
        <v>1148160</v>
      </c>
      <c r="V26" s="6">
        <v>4</v>
      </c>
      <c r="W26" s="7">
        <v>760210</v>
      </c>
      <c r="X26" s="6">
        <v>0</v>
      </c>
      <c r="Y26" s="7">
        <v>0</v>
      </c>
      <c r="Z26" s="6">
        <v>0</v>
      </c>
      <c r="AA26" s="7">
        <v>0</v>
      </c>
      <c r="AB26" s="6">
        <v>4</v>
      </c>
      <c r="AC26" s="7">
        <v>1148160</v>
      </c>
      <c r="AD26" s="6">
        <v>3</v>
      </c>
      <c r="AE26" s="7">
        <v>847440</v>
      </c>
      <c r="AF26" s="6">
        <v>3</v>
      </c>
      <c r="AG26" s="7">
        <v>414330</v>
      </c>
    </row>
    <row r="27" spans="1:33" ht="20.25" x14ac:dyDescent="0.25">
      <c r="A27" s="32">
        <v>46105</v>
      </c>
      <c r="B27" s="60">
        <f t="shared" si="1"/>
        <v>45</v>
      </c>
      <c r="C27" s="61">
        <f t="shared" si="0"/>
        <v>10080030</v>
      </c>
      <c r="D27" s="6">
        <v>14</v>
      </c>
      <c r="E27" s="7">
        <v>3459560</v>
      </c>
      <c r="F27" s="6">
        <v>0</v>
      </c>
      <c r="G27" s="7">
        <v>0</v>
      </c>
      <c r="H27" s="6">
        <v>20</v>
      </c>
      <c r="I27" s="7">
        <v>3490620</v>
      </c>
      <c r="J27" s="6">
        <v>0</v>
      </c>
      <c r="K27" s="7">
        <v>0</v>
      </c>
      <c r="L27" s="6">
        <v>0</v>
      </c>
      <c r="M27" s="7">
        <v>0</v>
      </c>
      <c r="N27" s="6">
        <v>2</v>
      </c>
      <c r="O27" s="7">
        <v>487500</v>
      </c>
      <c r="P27" s="6">
        <v>0</v>
      </c>
      <c r="Q27" s="7">
        <v>0</v>
      </c>
      <c r="R27" s="6">
        <v>0</v>
      </c>
      <c r="S27" s="7">
        <v>0</v>
      </c>
      <c r="T27" s="6">
        <v>0</v>
      </c>
      <c r="U27" s="7">
        <v>0</v>
      </c>
      <c r="V27" s="6">
        <v>7</v>
      </c>
      <c r="W27" s="7">
        <v>2321580</v>
      </c>
      <c r="X27" s="6">
        <v>0</v>
      </c>
      <c r="Y27" s="7">
        <v>0</v>
      </c>
      <c r="Z27" s="6">
        <v>2</v>
      </c>
      <c r="AA27" s="7">
        <v>320770</v>
      </c>
      <c r="AB27" s="6">
        <v>0</v>
      </c>
      <c r="AC27" s="7">
        <v>0</v>
      </c>
      <c r="AD27" s="6">
        <v>0</v>
      </c>
      <c r="AE27" s="7">
        <v>0</v>
      </c>
      <c r="AF27" s="6">
        <v>0</v>
      </c>
      <c r="AG27" s="7">
        <v>0</v>
      </c>
    </row>
    <row r="28" spans="1:33" ht="20.25" x14ac:dyDescent="0.25">
      <c r="A28" s="31">
        <v>46106</v>
      </c>
      <c r="B28" s="60">
        <f t="shared" si="1"/>
        <v>68</v>
      </c>
      <c r="C28" s="61">
        <f t="shared" si="0"/>
        <v>19051720</v>
      </c>
      <c r="D28" s="6">
        <v>26</v>
      </c>
      <c r="E28" s="7">
        <v>9446910</v>
      </c>
      <c r="F28" s="6">
        <v>1</v>
      </c>
      <c r="G28" s="7">
        <v>348550</v>
      </c>
      <c r="H28" s="6">
        <v>24</v>
      </c>
      <c r="I28" s="7">
        <v>5811740</v>
      </c>
      <c r="J28" s="6">
        <v>0</v>
      </c>
      <c r="K28" s="72">
        <v>0</v>
      </c>
      <c r="L28" s="6">
        <v>6</v>
      </c>
      <c r="M28" s="7">
        <v>1302990</v>
      </c>
      <c r="N28" s="6">
        <v>0</v>
      </c>
      <c r="O28" s="7">
        <v>0</v>
      </c>
      <c r="P28" s="6"/>
      <c r="Q28" s="7">
        <v>0</v>
      </c>
      <c r="R28" s="6">
        <v>0</v>
      </c>
      <c r="S28" s="7">
        <v>0</v>
      </c>
      <c r="T28" s="6">
        <v>0</v>
      </c>
      <c r="U28" s="7">
        <v>0</v>
      </c>
      <c r="V28" s="6">
        <v>0</v>
      </c>
      <c r="W28" s="7">
        <v>0</v>
      </c>
      <c r="X28" s="6">
        <v>0</v>
      </c>
      <c r="Y28" s="7">
        <v>0</v>
      </c>
      <c r="Z28" s="6">
        <v>5</v>
      </c>
      <c r="AA28" s="7">
        <v>1286450</v>
      </c>
      <c r="AB28" s="6">
        <v>0</v>
      </c>
      <c r="AC28" s="7">
        <v>0</v>
      </c>
      <c r="AD28" s="6">
        <v>6</v>
      </c>
      <c r="AE28" s="7">
        <v>855080</v>
      </c>
      <c r="AF28" s="6">
        <v>0</v>
      </c>
      <c r="AG28" s="7">
        <v>0</v>
      </c>
    </row>
    <row r="29" spans="1:33" ht="20.25" x14ac:dyDescent="0.25">
      <c r="A29" s="32">
        <v>46107</v>
      </c>
      <c r="B29" s="60">
        <f t="shared" si="1"/>
        <v>43</v>
      </c>
      <c r="C29" s="61">
        <f t="shared" si="0"/>
        <v>9551050</v>
      </c>
      <c r="D29" s="6">
        <v>7</v>
      </c>
      <c r="E29" s="7">
        <v>1522290</v>
      </c>
      <c r="F29" s="6">
        <v>1</v>
      </c>
      <c r="G29" s="7">
        <v>230060</v>
      </c>
      <c r="H29" s="6">
        <v>16</v>
      </c>
      <c r="I29" s="7">
        <v>3668600</v>
      </c>
      <c r="J29" s="6"/>
      <c r="K29" s="7"/>
      <c r="L29" s="6">
        <v>14</v>
      </c>
      <c r="M29" s="7">
        <v>2846940</v>
      </c>
      <c r="N29" s="6"/>
      <c r="O29" s="72"/>
      <c r="P29" s="6"/>
      <c r="Q29" s="7"/>
      <c r="R29" s="6">
        <v>0</v>
      </c>
      <c r="S29" s="7"/>
      <c r="T29" s="6">
        <v>2</v>
      </c>
      <c r="U29" s="7">
        <v>619450</v>
      </c>
      <c r="V29" s="6"/>
      <c r="W29" s="7"/>
      <c r="X29" s="6"/>
      <c r="Y29" s="7"/>
      <c r="Z29" s="6"/>
      <c r="AA29" s="7"/>
      <c r="AB29" s="6">
        <v>1</v>
      </c>
      <c r="AC29" s="7">
        <v>245140</v>
      </c>
      <c r="AD29" s="6">
        <v>1</v>
      </c>
      <c r="AE29" s="7">
        <v>215650</v>
      </c>
      <c r="AF29" s="6">
        <v>1</v>
      </c>
      <c r="AG29" s="7">
        <v>202920</v>
      </c>
    </row>
    <row r="30" spans="1:33" ht="20.25" x14ac:dyDescent="0.25">
      <c r="A30" s="31">
        <v>46108</v>
      </c>
      <c r="B30" s="60">
        <f t="shared" si="1"/>
        <v>46</v>
      </c>
      <c r="C30" s="61">
        <f t="shared" si="0"/>
        <v>12738330</v>
      </c>
      <c r="D30" s="6">
        <v>14</v>
      </c>
      <c r="E30" s="7">
        <v>3477940</v>
      </c>
      <c r="F30" s="6"/>
      <c r="G30" s="7"/>
      <c r="H30" s="6">
        <v>8</v>
      </c>
      <c r="I30" s="7">
        <v>3967130</v>
      </c>
      <c r="J30" s="6"/>
      <c r="K30" s="7"/>
      <c r="L30" s="6">
        <v>9</v>
      </c>
      <c r="M30" s="7">
        <v>1870690</v>
      </c>
      <c r="N30" s="6"/>
      <c r="O30" s="7"/>
      <c r="P30" s="6">
        <v>4</v>
      </c>
      <c r="Q30" s="7">
        <v>764200</v>
      </c>
      <c r="R30" s="6">
        <v>0</v>
      </c>
      <c r="S30" s="7">
        <v>0</v>
      </c>
      <c r="T30" s="6">
        <v>3</v>
      </c>
      <c r="U30" s="7">
        <v>739650</v>
      </c>
      <c r="V30" s="6">
        <v>8</v>
      </c>
      <c r="W30" s="7">
        <v>1918720</v>
      </c>
      <c r="X30" s="6"/>
      <c r="Y30" s="7"/>
      <c r="Z30" s="6"/>
      <c r="AA30" s="7"/>
      <c r="AB30" s="6"/>
      <c r="AC30" s="7"/>
      <c r="AD30" s="6"/>
      <c r="AE30" s="7"/>
      <c r="AF30" s="6"/>
      <c r="AG30" s="7"/>
    </row>
    <row r="31" spans="1:33" ht="20.25" x14ac:dyDescent="0.25">
      <c r="A31" s="32">
        <v>46109</v>
      </c>
      <c r="B31" s="60">
        <f t="shared" si="1"/>
        <v>26</v>
      </c>
      <c r="C31" s="61">
        <f t="shared" si="0"/>
        <v>5914910</v>
      </c>
      <c r="D31" s="6">
        <v>7</v>
      </c>
      <c r="E31" s="7">
        <v>1842220</v>
      </c>
      <c r="F31" s="6"/>
      <c r="G31" s="7"/>
      <c r="H31" s="6">
        <v>13</v>
      </c>
      <c r="I31" s="7">
        <v>3007050</v>
      </c>
      <c r="J31" s="6"/>
      <c r="K31" s="7"/>
      <c r="L31" s="6"/>
      <c r="M31" s="7"/>
      <c r="N31" s="6"/>
      <c r="O31" s="7"/>
      <c r="P31" s="6">
        <v>1</v>
      </c>
      <c r="Q31" s="7">
        <v>301030</v>
      </c>
      <c r="R31" s="6">
        <v>0</v>
      </c>
      <c r="S31" s="7">
        <v>0</v>
      </c>
      <c r="T31" s="6"/>
      <c r="U31" s="7"/>
      <c r="V31" s="6">
        <v>1</v>
      </c>
      <c r="W31" s="7">
        <v>90390</v>
      </c>
      <c r="X31" s="6"/>
      <c r="Y31" s="7"/>
      <c r="Z31" s="6">
        <v>3</v>
      </c>
      <c r="AA31" s="7">
        <v>471300</v>
      </c>
      <c r="AB31" s="6"/>
      <c r="AC31" s="7"/>
      <c r="AD31" s="6"/>
      <c r="AE31" s="7"/>
      <c r="AF31" s="6">
        <v>1</v>
      </c>
      <c r="AG31" s="7">
        <v>202920</v>
      </c>
    </row>
    <row r="32" spans="1:33" ht="20.25" x14ac:dyDescent="0.25">
      <c r="A32" s="31">
        <v>46110</v>
      </c>
      <c r="B32" s="60">
        <f t="shared" si="1"/>
        <v>45</v>
      </c>
      <c r="C32" s="61">
        <f t="shared" si="0"/>
        <v>8996600</v>
      </c>
      <c r="D32" s="6">
        <v>5</v>
      </c>
      <c r="E32" s="7">
        <v>1312850</v>
      </c>
      <c r="F32" s="6"/>
      <c r="G32" s="7"/>
      <c r="H32" s="6">
        <v>25</v>
      </c>
      <c r="I32" s="7">
        <v>4884790</v>
      </c>
      <c r="J32" s="6"/>
      <c r="K32" s="7"/>
      <c r="L32" s="6">
        <v>2</v>
      </c>
      <c r="M32" s="7">
        <v>553640</v>
      </c>
      <c r="N32" s="6"/>
      <c r="O32" s="7"/>
      <c r="P32" s="6"/>
      <c r="Q32" s="7"/>
      <c r="R32" s="6">
        <v>0</v>
      </c>
      <c r="S32" s="7">
        <v>0</v>
      </c>
      <c r="T32" s="6"/>
      <c r="U32" s="7"/>
      <c r="V32" s="6">
        <v>7</v>
      </c>
      <c r="W32" s="7">
        <v>1065160</v>
      </c>
      <c r="X32" s="6"/>
      <c r="Y32" s="7"/>
      <c r="Z32" s="6"/>
      <c r="AA32" s="7"/>
      <c r="AB32" s="6"/>
      <c r="AC32" s="7"/>
      <c r="AD32" s="6">
        <v>6</v>
      </c>
      <c r="AE32" s="7">
        <v>1180160</v>
      </c>
      <c r="AF32" s="6"/>
      <c r="AG32" s="7"/>
    </row>
    <row r="33" spans="1:33" ht="20.25" x14ac:dyDescent="0.25">
      <c r="A33" s="32">
        <v>46111</v>
      </c>
      <c r="B33" s="60">
        <f t="shared" si="1"/>
        <v>50</v>
      </c>
      <c r="C33" s="61">
        <f t="shared" si="0"/>
        <v>13196110</v>
      </c>
      <c r="D33" s="6">
        <v>2</v>
      </c>
      <c r="E33" s="7">
        <v>1018000</v>
      </c>
      <c r="F33" s="6"/>
      <c r="G33" s="7"/>
      <c r="H33" s="6">
        <v>17</v>
      </c>
      <c r="I33" s="7">
        <v>3343940</v>
      </c>
      <c r="J33" s="6"/>
      <c r="K33" s="7"/>
      <c r="L33" s="6">
        <v>11</v>
      </c>
      <c r="M33" s="7">
        <v>3345930</v>
      </c>
      <c r="N33" s="6">
        <v>2</v>
      </c>
      <c r="O33" s="7">
        <v>355980</v>
      </c>
      <c r="P33" s="6">
        <v>4</v>
      </c>
      <c r="Q33" s="7">
        <v>980530</v>
      </c>
      <c r="R33" s="6">
        <v>0</v>
      </c>
      <c r="S33" s="7">
        <v>0</v>
      </c>
      <c r="T33" s="6">
        <v>4</v>
      </c>
      <c r="U33" s="7">
        <v>958320</v>
      </c>
      <c r="V33" s="6"/>
      <c r="W33" s="7"/>
      <c r="X33" s="6"/>
      <c r="Y33" s="7"/>
      <c r="Z33" s="6">
        <v>8</v>
      </c>
      <c r="AA33" s="7">
        <v>2400820</v>
      </c>
      <c r="AB33" s="6"/>
      <c r="AC33" s="7"/>
      <c r="AD33" s="6">
        <v>2</v>
      </c>
      <c r="AE33" s="7">
        <v>792590</v>
      </c>
      <c r="AF33" s="6"/>
      <c r="AG33" s="7"/>
    </row>
    <row r="34" spans="1:33" ht="21" thickBot="1" x14ac:dyDescent="0.3">
      <c r="A34" s="57">
        <v>46112</v>
      </c>
      <c r="B34" s="60">
        <f t="shared" si="1"/>
        <v>30</v>
      </c>
      <c r="C34" s="61">
        <f t="shared" si="0"/>
        <v>8455130</v>
      </c>
      <c r="D34" s="8">
        <v>8</v>
      </c>
      <c r="E34" s="9">
        <v>2132360</v>
      </c>
      <c r="F34" s="8">
        <v>1</v>
      </c>
      <c r="G34" s="9">
        <v>304210</v>
      </c>
      <c r="H34" s="8">
        <v>5</v>
      </c>
      <c r="I34" s="9">
        <v>1163040</v>
      </c>
      <c r="J34" s="8">
        <v>1</v>
      </c>
      <c r="K34" s="9">
        <v>304210</v>
      </c>
      <c r="L34" s="8">
        <v>4</v>
      </c>
      <c r="M34" s="9">
        <v>2171300</v>
      </c>
      <c r="N34" s="8">
        <v>3</v>
      </c>
      <c r="O34" s="9">
        <v>533970</v>
      </c>
      <c r="P34" s="8"/>
      <c r="Q34" s="9"/>
      <c r="R34" s="8">
        <v>3</v>
      </c>
      <c r="S34" s="9">
        <v>576930</v>
      </c>
      <c r="T34" s="8">
        <v>5</v>
      </c>
      <c r="U34" s="9">
        <v>1269110</v>
      </c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</row>
    <row r="35" spans="1:33" s="13" customFormat="1" ht="24" thickBot="1" x14ac:dyDescent="0.3">
      <c r="A35" s="58" t="s">
        <v>1</v>
      </c>
      <c r="B35" s="15">
        <f t="shared" ref="B35:AG35" si="2">SUM(B4:B31)</f>
        <v>1391</v>
      </c>
      <c r="C35" s="39">
        <f t="shared" si="2"/>
        <v>376629820</v>
      </c>
      <c r="D35" s="15">
        <f>SUM(D4:D34)</f>
        <v>300</v>
      </c>
      <c r="E35" s="15">
        <f t="shared" ref="E35:AG35" si="3">SUM(E4:E34)</f>
        <v>85370650</v>
      </c>
      <c r="F35" s="15">
        <f t="shared" si="3"/>
        <v>39</v>
      </c>
      <c r="G35" s="15">
        <f t="shared" si="3"/>
        <v>10019510</v>
      </c>
      <c r="H35" s="15">
        <f t="shared" si="3"/>
        <v>454</v>
      </c>
      <c r="I35" s="15">
        <f t="shared" si="3"/>
        <v>103382420</v>
      </c>
      <c r="J35" s="15">
        <f t="shared" si="3"/>
        <v>8</v>
      </c>
      <c r="K35" s="15">
        <f t="shared" si="3"/>
        <v>1819320</v>
      </c>
      <c r="L35" s="15">
        <f t="shared" si="3"/>
        <v>68</v>
      </c>
      <c r="M35" s="15">
        <f t="shared" si="3"/>
        <v>19585380</v>
      </c>
      <c r="N35" s="15">
        <f t="shared" si="3"/>
        <v>101</v>
      </c>
      <c r="O35" s="15">
        <f t="shared" si="3"/>
        <v>29188810</v>
      </c>
      <c r="P35" s="15">
        <f t="shared" si="3"/>
        <v>50</v>
      </c>
      <c r="Q35" s="15">
        <f t="shared" si="3"/>
        <v>13512240</v>
      </c>
      <c r="R35" s="15">
        <f t="shared" si="3"/>
        <v>8</v>
      </c>
      <c r="S35" s="15">
        <f t="shared" si="3"/>
        <v>1863550</v>
      </c>
      <c r="T35" s="15">
        <f t="shared" si="3"/>
        <v>86</v>
      </c>
      <c r="U35" s="15">
        <f t="shared" si="3"/>
        <v>22192230</v>
      </c>
      <c r="V35" s="15">
        <f t="shared" si="3"/>
        <v>73</v>
      </c>
      <c r="W35" s="15">
        <f t="shared" si="3"/>
        <v>17464110</v>
      </c>
      <c r="X35" s="15">
        <f t="shared" si="3"/>
        <v>1</v>
      </c>
      <c r="Y35" s="15">
        <f t="shared" si="3"/>
        <v>258610</v>
      </c>
      <c r="Z35" s="15">
        <f t="shared" si="3"/>
        <v>86</v>
      </c>
      <c r="AA35" s="15">
        <f t="shared" si="3"/>
        <v>17664210</v>
      </c>
      <c r="AB35" s="15">
        <f t="shared" si="3"/>
        <v>43</v>
      </c>
      <c r="AC35" s="15">
        <f t="shared" si="3"/>
        <v>20516590</v>
      </c>
      <c r="AD35" s="15">
        <f t="shared" si="3"/>
        <v>179</v>
      </c>
      <c r="AE35" s="15">
        <f t="shared" si="3"/>
        <v>60364140</v>
      </c>
      <c r="AF35" s="15">
        <f t="shared" si="3"/>
        <v>20</v>
      </c>
      <c r="AG35" s="15">
        <f t="shared" si="3"/>
        <v>4075890</v>
      </c>
    </row>
    <row r="36" spans="1:33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B36" s="2"/>
      <c r="AC36" s="2"/>
      <c r="AD36" s="2"/>
      <c r="AE36" s="2"/>
      <c r="AF36" s="2"/>
      <c r="AG36" s="2"/>
    </row>
  </sheetData>
  <mergeCells count="18">
    <mergeCell ref="A1:A3"/>
    <mergeCell ref="B1:C2"/>
    <mergeCell ref="D2:E2"/>
    <mergeCell ref="H2:I2"/>
    <mergeCell ref="J2:K2"/>
    <mergeCell ref="P2:Q2"/>
    <mergeCell ref="R2:S2"/>
    <mergeCell ref="AD2:AE2"/>
    <mergeCell ref="D1:AG1"/>
    <mergeCell ref="AF2:AG2"/>
    <mergeCell ref="Z2:AA2"/>
    <mergeCell ref="AB2:AC2"/>
    <mergeCell ref="T2:U2"/>
    <mergeCell ref="V2:W2"/>
    <mergeCell ref="X2:Y2"/>
    <mergeCell ref="L2:M2"/>
    <mergeCell ref="N2:O2"/>
    <mergeCell ref="F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zoomScale="70" zoomScaleNormal="70" workbookViewId="0">
      <selection activeCell="A23" sqref="A23:A37"/>
    </sheetView>
  </sheetViews>
  <sheetFormatPr defaultRowHeight="18.75" x14ac:dyDescent="0.25"/>
  <cols>
    <col min="1" max="1" width="4.28515625" style="1" bestFit="1" customWidth="1"/>
    <col min="2" max="2" width="26.28515625" bestFit="1" customWidth="1"/>
    <col min="3" max="3" width="15.28515625" style="23" bestFit="1" customWidth="1"/>
    <col min="4" max="4" width="25.7109375" bestFit="1" customWidth="1"/>
  </cols>
  <sheetData>
    <row r="1" spans="1:4" ht="74.25" customHeight="1" x14ac:dyDescent="0.25">
      <c r="A1" s="99" t="s">
        <v>45</v>
      </c>
      <c r="B1" s="100"/>
      <c r="C1" s="100"/>
      <c r="D1" s="101"/>
    </row>
    <row r="2" spans="1:4" x14ac:dyDescent="0.25">
      <c r="A2" s="21" t="s">
        <v>28</v>
      </c>
      <c r="B2" s="21" t="s">
        <v>22</v>
      </c>
      <c r="C2" s="22" t="s">
        <v>3</v>
      </c>
      <c r="D2" s="22" t="s">
        <v>4</v>
      </c>
    </row>
    <row r="3" spans="1:4" s="19" customFormat="1" x14ac:dyDescent="0.25">
      <c r="A3" s="24">
        <v>1</v>
      </c>
      <c r="B3" s="17" t="s">
        <v>24</v>
      </c>
      <c r="C3" s="18">
        <f>Худудлар!H35</f>
        <v>454</v>
      </c>
      <c r="D3" s="18">
        <f>Худудлар!I35</f>
        <v>103382420</v>
      </c>
    </row>
    <row r="4" spans="1:4" s="19" customFormat="1" x14ac:dyDescent="0.25">
      <c r="A4" s="24">
        <v>2</v>
      </c>
      <c r="B4" s="17" t="s">
        <v>23</v>
      </c>
      <c r="C4" s="18">
        <f>Худудлар!D35</f>
        <v>300</v>
      </c>
      <c r="D4" s="18">
        <f>Худудлар!E35</f>
        <v>85370650</v>
      </c>
    </row>
    <row r="5" spans="1:4" s="19" customFormat="1" x14ac:dyDescent="0.25">
      <c r="A5" s="24">
        <v>3</v>
      </c>
      <c r="B5" s="17" t="s">
        <v>17</v>
      </c>
      <c r="C5" s="18">
        <f>Худудлар!AD35</f>
        <v>179</v>
      </c>
      <c r="D5" s="18">
        <f>Худудлар!AE35</f>
        <v>60364140</v>
      </c>
    </row>
    <row r="6" spans="1:4" s="19" customFormat="1" x14ac:dyDescent="0.25">
      <c r="A6" s="24">
        <v>4</v>
      </c>
      <c r="B6" s="17" t="s">
        <v>9</v>
      </c>
      <c r="C6" s="18">
        <f>Худудлар!N35</f>
        <v>101</v>
      </c>
      <c r="D6" s="18">
        <f>Худудлар!O35</f>
        <v>29188810</v>
      </c>
    </row>
    <row r="7" spans="1:4" s="19" customFormat="1" x14ac:dyDescent="0.25">
      <c r="A7" s="24">
        <v>5</v>
      </c>
      <c r="B7" s="17" t="s">
        <v>16</v>
      </c>
      <c r="C7" s="18">
        <f>Худудлар!AB35</f>
        <v>43</v>
      </c>
      <c r="D7" s="18">
        <f>Худудлар!AC35</f>
        <v>20516590</v>
      </c>
    </row>
    <row r="8" spans="1:4" s="19" customFormat="1" x14ac:dyDescent="0.25">
      <c r="A8" s="24">
        <v>6</v>
      </c>
      <c r="B8" s="17" t="s">
        <v>12</v>
      </c>
      <c r="C8" s="18">
        <f>Худудлар!T35</f>
        <v>86</v>
      </c>
      <c r="D8" s="18">
        <f>Худудлар!U35</f>
        <v>22192230</v>
      </c>
    </row>
    <row r="9" spans="1:4" s="19" customFormat="1" x14ac:dyDescent="0.25">
      <c r="A9" s="24">
        <v>7</v>
      </c>
      <c r="B9" s="17" t="s">
        <v>15</v>
      </c>
      <c r="C9" s="18">
        <f>Худудлар!Z35</f>
        <v>86</v>
      </c>
      <c r="D9" s="18">
        <f>Худудлар!AA35</f>
        <v>17664210</v>
      </c>
    </row>
    <row r="10" spans="1:4" s="19" customFormat="1" x14ac:dyDescent="0.25">
      <c r="A10" s="24">
        <v>8</v>
      </c>
      <c r="B10" s="17" t="s">
        <v>27</v>
      </c>
      <c r="C10" s="18">
        <f>Худудлар!V35</f>
        <v>73</v>
      </c>
      <c r="D10" s="18">
        <f>Худудлар!W35</f>
        <v>17464110</v>
      </c>
    </row>
    <row r="11" spans="1:4" s="19" customFormat="1" x14ac:dyDescent="0.25">
      <c r="A11" s="24">
        <v>9</v>
      </c>
      <c r="B11" s="17" t="s">
        <v>25</v>
      </c>
      <c r="C11" s="18">
        <f>Худудлар!P35</f>
        <v>50</v>
      </c>
      <c r="D11" s="18">
        <f>Худудлар!Q35</f>
        <v>13512240</v>
      </c>
    </row>
    <row r="12" spans="1:4" s="19" customFormat="1" x14ac:dyDescent="0.25">
      <c r="A12" s="24">
        <v>10</v>
      </c>
      <c r="B12" s="17" t="s">
        <v>21</v>
      </c>
      <c r="C12" s="18">
        <f>Худудлар!F35</f>
        <v>39</v>
      </c>
      <c r="D12" s="18">
        <f>Худудлар!G35</f>
        <v>10019510</v>
      </c>
    </row>
    <row r="13" spans="1:4" s="19" customFormat="1" x14ac:dyDescent="0.25">
      <c r="A13" s="24">
        <v>11</v>
      </c>
      <c r="B13" s="17" t="s">
        <v>8</v>
      </c>
      <c r="C13" s="18">
        <f>Худудлар!L35</f>
        <v>68</v>
      </c>
      <c r="D13" s="18">
        <f>Худудлар!M35</f>
        <v>19585380</v>
      </c>
    </row>
    <row r="14" spans="1:4" s="19" customFormat="1" x14ac:dyDescent="0.25">
      <c r="A14" s="24">
        <v>12</v>
      </c>
      <c r="B14" s="17" t="s">
        <v>18</v>
      </c>
      <c r="C14" s="18">
        <f>Худудлар!AF35</f>
        <v>20</v>
      </c>
      <c r="D14" s="18">
        <f>Худудлар!AG35</f>
        <v>4075890</v>
      </c>
    </row>
    <row r="15" spans="1:4" s="19" customFormat="1" x14ac:dyDescent="0.25">
      <c r="A15" s="24">
        <v>13</v>
      </c>
      <c r="B15" s="17" t="s">
        <v>7</v>
      </c>
      <c r="C15" s="18">
        <f>Худудлар!J35</f>
        <v>8</v>
      </c>
      <c r="D15" s="18">
        <f>Худудлар!K35</f>
        <v>1819320</v>
      </c>
    </row>
    <row r="16" spans="1:4" s="19" customFormat="1" x14ac:dyDescent="0.25">
      <c r="A16" s="24">
        <v>14</v>
      </c>
      <c r="B16" s="20" t="s">
        <v>11</v>
      </c>
      <c r="C16" s="18">
        <f>Худудлар!R35</f>
        <v>8</v>
      </c>
      <c r="D16" s="18">
        <f>Худудлар!S35</f>
        <v>1863550</v>
      </c>
    </row>
    <row r="17" spans="1:4" x14ac:dyDescent="0.25">
      <c r="A17" s="24">
        <v>15</v>
      </c>
      <c r="B17" s="38" t="s">
        <v>26</v>
      </c>
      <c r="C17" s="18">
        <f>Худудлар!X35</f>
        <v>1</v>
      </c>
      <c r="D17" s="18">
        <f>Худудлар!Y35</f>
        <v>258610</v>
      </c>
    </row>
    <row r="18" spans="1:4" x14ac:dyDescent="0.25">
      <c r="A18" s="24"/>
      <c r="B18" s="38"/>
      <c r="C18" s="18"/>
      <c r="D18" s="18"/>
    </row>
    <row r="19" spans="1:4" ht="20.25" x14ac:dyDescent="0.3">
      <c r="A19" s="37" t="s">
        <v>29</v>
      </c>
      <c r="B19" s="37"/>
      <c r="C19" s="34">
        <f>SUM(C3:C17)</f>
        <v>1516</v>
      </c>
      <c r="D19" s="35">
        <f>SUM(D3:D17)</f>
        <v>407277660</v>
      </c>
    </row>
    <row r="20" spans="1:4" s="19" customFormat="1" ht="15" x14ac:dyDescent="0.25"/>
    <row r="21" spans="1:4" ht="73.5" customHeight="1" x14ac:dyDescent="0.25">
      <c r="A21" s="99" t="s">
        <v>44</v>
      </c>
      <c r="B21" s="100"/>
      <c r="C21" s="100"/>
      <c r="D21" s="101"/>
    </row>
    <row r="22" spans="1:4" ht="43.5" customHeight="1" x14ac:dyDescent="0.25">
      <c r="A22" s="21" t="s">
        <v>28</v>
      </c>
      <c r="B22" s="21" t="s">
        <v>22</v>
      </c>
      <c r="C22" s="22" t="s">
        <v>3</v>
      </c>
      <c r="D22" s="22" t="s">
        <v>4</v>
      </c>
    </row>
    <row r="23" spans="1:4" x14ac:dyDescent="0.25">
      <c r="A23" s="24">
        <v>1</v>
      </c>
      <c r="B23" s="17" t="s">
        <v>24</v>
      </c>
      <c r="C23" s="18">
        <f>Худудлар!H35</f>
        <v>454</v>
      </c>
      <c r="D23" s="18">
        <f>Худудлар!I35</f>
        <v>103382420</v>
      </c>
    </row>
    <row r="24" spans="1:4" x14ac:dyDescent="0.25">
      <c r="A24" s="24">
        <v>2</v>
      </c>
      <c r="B24" s="17" t="s">
        <v>23</v>
      </c>
      <c r="C24" s="18">
        <f>Худудлар!D35</f>
        <v>300</v>
      </c>
      <c r="D24" s="18">
        <f>Худудлар!E35</f>
        <v>85370650</v>
      </c>
    </row>
    <row r="25" spans="1:4" x14ac:dyDescent="0.25">
      <c r="A25" s="24">
        <v>3</v>
      </c>
      <c r="B25" s="17" t="s">
        <v>17</v>
      </c>
      <c r="C25" s="18">
        <f>Худудлар!AD35</f>
        <v>179</v>
      </c>
      <c r="D25" s="18">
        <f>Худудлар!AE35</f>
        <v>60364140</v>
      </c>
    </row>
    <row r="26" spans="1:4" x14ac:dyDescent="0.25">
      <c r="A26" s="24">
        <v>4</v>
      </c>
      <c r="B26" s="17" t="s">
        <v>9</v>
      </c>
      <c r="C26" s="18">
        <f>Худудлар!N35</f>
        <v>101</v>
      </c>
      <c r="D26" s="18">
        <f>Худудлар!O35</f>
        <v>29188810</v>
      </c>
    </row>
    <row r="27" spans="1:4" x14ac:dyDescent="0.25">
      <c r="A27" s="24">
        <v>5</v>
      </c>
      <c r="B27" s="17" t="s">
        <v>15</v>
      </c>
      <c r="C27" s="18">
        <f>Худудлар!Z35</f>
        <v>86</v>
      </c>
      <c r="D27" s="18">
        <f>Худудлар!AA35</f>
        <v>17664210</v>
      </c>
    </row>
    <row r="28" spans="1:4" x14ac:dyDescent="0.25">
      <c r="A28" s="24">
        <v>6</v>
      </c>
      <c r="B28" s="17" t="s">
        <v>12</v>
      </c>
      <c r="C28" s="18">
        <f>Худудлар!T35</f>
        <v>86</v>
      </c>
      <c r="D28" s="18">
        <f>Худудлар!U35</f>
        <v>22192230</v>
      </c>
    </row>
    <row r="29" spans="1:4" x14ac:dyDescent="0.25">
      <c r="A29" s="24">
        <v>7</v>
      </c>
      <c r="B29" s="17" t="s">
        <v>27</v>
      </c>
      <c r="C29" s="18">
        <f>Худудлар!V35</f>
        <v>73</v>
      </c>
      <c r="D29" s="18">
        <f>Худудлар!W35</f>
        <v>17464110</v>
      </c>
    </row>
    <row r="30" spans="1:4" x14ac:dyDescent="0.25">
      <c r="A30" s="24">
        <v>8</v>
      </c>
      <c r="B30" s="17" t="s">
        <v>16</v>
      </c>
      <c r="C30" s="18">
        <f>Худудлар!AB35</f>
        <v>43</v>
      </c>
      <c r="D30" s="18">
        <f>Худудлар!AC35</f>
        <v>20516590</v>
      </c>
    </row>
    <row r="31" spans="1:4" x14ac:dyDescent="0.25">
      <c r="A31" s="24">
        <v>9</v>
      </c>
      <c r="B31" s="17" t="s">
        <v>25</v>
      </c>
      <c r="C31" s="18">
        <f>Худудлар!P35</f>
        <v>50</v>
      </c>
      <c r="D31" s="18">
        <f>Худудлар!Q35</f>
        <v>13512240</v>
      </c>
    </row>
    <row r="32" spans="1:4" x14ac:dyDescent="0.25">
      <c r="A32" s="24">
        <v>10</v>
      </c>
      <c r="B32" s="17" t="s">
        <v>21</v>
      </c>
      <c r="C32" s="18">
        <f>Худудлар!F35</f>
        <v>39</v>
      </c>
      <c r="D32" s="18">
        <f>Худудлар!G35</f>
        <v>10019510</v>
      </c>
    </row>
    <row r="33" spans="1:4" x14ac:dyDescent="0.25">
      <c r="A33" s="24">
        <v>11</v>
      </c>
      <c r="B33" s="17" t="s">
        <v>8</v>
      </c>
      <c r="C33" s="18">
        <f>Худудлар!L35</f>
        <v>68</v>
      </c>
      <c r="D33" s="18">
        <f>Худудлар!M35</f>
        <v>19585380</v>
      </c>
    </row>
    <row r="34" spans="1:4" x14ac:dyDescent="0.25">
      <c r="A34" s="24">
        <v>12</v>
      </c>
      <c r="B34" s="17" t="s">
        <v>18</v>
      </c>
      <c r="C34" s="18">
        <f>Худудлар!AF35</f>
        <v>20</v>
      </c>
      <c r="D34" s="18">
        <f>Худудлар!AG35</f>
        <v>4075890</v>
      </c>
    </row>
    <row r="35" spans="1:4" x14ac:dyDescent="0.25">
      <c r="A35" s="24">
        <v>13</v>
      </c>
      <c r="B35" s="20" t="s">
        <v>7</v>
      </c>
      <c r="C35" s="18">
        <f>Худудлар!J35</f>
        <v>8</v>
      </c>
      <c r="D35" s="18">
        <f>Худудлар!K35</f>
        <v>1819320</v>
      </c>
    </row>
    <row r="36" spans="1:4" x14ac:dyDescent="0.25">
      <c r="A36" s="24">
        <v>14</v>
      </c>
      <c r="B36" s="17" t="s">
        <v>11</v>
      </c>
      <c r="C36" s="18">
        <f>Худудлар!R35</f>
        <v>8</v>
      </c>
      <c r="D36" s="18">
        <f>Худудлар!S35</f>
        <v>1863550</v>
      </c>
    </row>
    <row r="37" spans="1:4" x14ac:dyDescent="0.25">
      <c r="A37" s="24">
        <v>15</v>
      </c>
      <c r="B37" s="17" t="s">
        <v>26</v>
      </c>
      <c r="C37" s="18">
        <f>Худудлар!X35</f>
        <v>1</v>
      </c>
      <c r="D37" s="18">
        <f>Худудлар!Y35</f>
        <v>258610</v>
      </c>
    </row>
    <row r="38" spans="1:4" x14ac:dyDescent="0.25">
      <c r="A38" s="24"/>
      <c r="B38" s="17"/>
      <c r="C38" s="18"/>
      <c r="D38" s="18"/>
    </row>
    <row r="39" spans="1:4" ht="20.25" x14ac:dyDescent="0.3">
      <c r="A39" s="36" t="s">
        <v>29</v>
      </c>
      <c r="B39" s="33"/>
      <c r="C39" s="34">
        <f>SUM(C23:C37)</f>
        <v>1516</v>
      </c>
      <c r="D39" s="35">
        <f>SUM(D23:D37)</f>
        <v>407277660</v>
      </c>
    </row>
  </sheetData>
  <sortState xmlns:xlrd2="http://schemas.microsoft.com/office/spreadsheetml/2017/richdata2" ref="A23:D37">
    <sortCondition descending="1" ref="C23:C37"/>
  </sortState>
  <mergeCells count="2">
    <mergeCell ref="A1:D1"/>
    <mergeCell ref="A21:D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EFBA-0C1A-48F4-9BDF-9D0D5837F96E}">
  <dimension ref="A1:AE16"/>
  <sheetViews>
    <sheetView tabSelected="1" topLeftCell="K1" workbookViewId="0">
      <selection activeCell="B6" sqref="B6:AE6"/>
    </sheetView>
  </sheetViews>
  <sheetFormatPr defaultRowHeight="15" x14ac:dyDescent="0.25"/>
  <cols>
    <col min="1" max="1" width="13.140625" bestFit="1" customWidth="1"/>
    <col min="2" max="2" width="7.85546875" bestFit="1" customWidth="1"/>
    <col min="3" max="3" width="18" bestFit="1" customWidth="1"/>
    <col min="4" max="4" width="17.42578125" customWidth="1"/>
    <col min="5" max="5" width="16.42578125" bestFit="1" customWidth="1"/>
    <col min="6" max="6" width="9.85546875" bestFit="1" customWidth="1"/>
    <col min="7" max="7" width="18" bestFit="1" customWidth="1"/>
    <col min="8" max="8" width="7.85546875" bestFit="1" customWidth="1"/>
    <col min="9" max="9" width="16.42578125" bestFit="1" customWidth="1"/>
    <col min="10" max="10" width="7.85546875" bestFit="1" customWidth="1"/>
    <col min="11" max="11" width="16.42578125" bestFit="1" customWidth="1"/>
    <col min="12" max="12" width="7.85546875" bestFit="1" customWidth="1"/>
    <col min="13" max="13" width="18" bestFit="1" customWidth="1"/>
    <col min="14" max="14" width="7.85546875" bestFit="1" customWidth="1"/>
    <col min="15" max="15" width="16.42578125" bestFit="1" customWidth="1"/>
    <col min="16" max="16" width="7.85546875" bestFit="1" customWidth="1"/>
    <col min="17" max="17" width="16.42578125" bestFit="1" customWidth="1"/>
    <col min="18" max="18" width="7.85546875" bestFit="1" customWidth="1"/>
    <col min="19" max="19" width="16.42578125" bestFit="1" customWidth="1"/>
    <col min="20" max="20" width="7.85546875" bestFit="1" customWidth="1"/>
    <col min="21" max="21" width="16.42578125" bestFit="1" customWidth="1"/>
    <col min="22" max="22" width="7.85546875" bestFit="1" customWidth="1"/>
    <col min="23" max="23" width="15" bestFit="1" customWidth="1"/>
    <col min="24" max="24" width="7.85546875" bestFit="1" customWidth="1"/>
    <col min="25" max="25" width="16.42578125" bestFit="1" customWidth="1"/>
    <col min="26" max="26" width="7.85546875" bestFit="1" customWidth="1"/>
    <col min="27" max="27" width="16.42578125" bestFit="1" customWidth="1"/>
    <col min="28" max="28" width="7.85546875" bestFit="1" customWidth="1"/>
    <col min="29" max="29" width="18" bestFit="1" customWidth="1"/>
    <col min="30" max="30" width="7.85546875" bestFit="1" customWidth="1"/>
    <col min="31" max="31" width="16.42578125" bestFit="1" customWidth="1"/>
  </cols>
  <sheetData>
    <row r="1" spans="1:31" ht="44.25" customHeight="1" x14ac:dyDescent="0.25">
      <c r="A1" s="103" t="s">
        <v>31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.75" x14ac:dyDescent="0.3">
      <c r="A2" s="104" t="s">
        <v>22</v>
      </c>
      <c r="B2" s="104" t="s">
        <v>20</v>
      </c>
      <c r="C2" s="104"/>
      <c r="D2" s="104" t="s">
        <v>21</v>
      </c>
      <c r="E2" s="104"/>
      <c r="F2" s="104" t="s">
        <v>6</v>
      </c>
      <c r="G2" s="104"/>
      <c r="H2" s="104" t="s">
        <v>7</v>
      </c>
      <c r="I2" s="104"/>
      <c r="J2" s="104" t="s">
        <v>8</v>
      </c>
      <c r="K2" s="104"/>
      <c r="L2" s="104" t="s">
        <v>9</v>
      </c>
      <c r="M2" s="104"/>
      <c r="N2" s="104" t="s">
        <v>10</v>
      </c>
      <c r="O2" s="104"/>
      <c r="P2" s="104" t="s">
        <v>11</v>
      </c>
      <c r="Q2" s="104"/>
      <c r="R2" s="104" t="s">
        <v>12</v>
      </c>
      <c r="S2" s="104"/>
      <c r="T2" s="102" t="s">
        <v>13</v>
      </c>
      <c r="U2" s="102"/>
      <c r="V2" s="102" t="s">
        <v>14</v>
      </c>
      <c r="W2" s="102"/>
      <c r="X2" s="102" t="s">
        <v>15</v>
      </c>
      <c r="Y2" s="102"/>
      <c r="Z2" s="102" t="s">
        <v>16</v>
      </c>
      <c r="AA2" s="102"/>
      <c r="AB2" s="102" t="s">
        <v>17</v>
      </c>
      <c r="AC2" s="102"/>
      <c r="AD2" s="102" t="s">
        <v>18</v>
      </c>
      <c r="AE2" s="102"/>
    </row>
    <row r="3" spans="1:31" ht="18.75" x14ac:dyDescent="0.3">
      <c r="A3" s="104"/>
      <c r="B3" s="64" t="s">
        <v>3</v>
      </c>
      <c r="C3" s="64" t="s">
        <v>4</v>
      </c>
      <c r="D3" s="64" t="s">
        <v>3</v>
      </c>
      <c r="E3" s="64" t="s">
        <v>4</v>
      </c>
      <c r="F3" s="64" t="s">
        <v>3</v>
      </c>
      <c r="G3" s="64" t="s">
        <v>4</v>
      </c>
      <c r="H3" s="64" t="s">
        <v>3</v>
      </c>
      <c r="I3" s="64" t="s">
        <v>4</v>
      </c>
      <c r="J3" s="64" t="s">
        <v>3</v>
      </c>
      <c r="K3" s="64" t="s">
        <v>4</v>
      </c>
      <c r="L3" s="64" t="s">
        <v>3</v>
      </c>
      <c r="M3" s="64" t="s">
        <v>4</v>
      </c>
      <c r="N3" s="64" t="s">
        <v>3</v>
      </c>
      <c r="O3" s="64" t="s">
        <v>4</v>
      </c>
      <c r="P3" s="64" t="s">
        <v>3</v>
      </c>
      <c r="Q3" s="64" t="s">
        <v>4</v>
      </c>
      <c r="R3" s="64" t="s">
        <v>3</v>
      </c>
      <c r="S3" s="64" t="s">
        <v>4</v>
      </c>
      <c r="T3" s="64" t="s">
        <v>3</v>
      </c>
      <c r="U3" s="64" t="s">
        <v>4</v>
      </c>
      <c r="V3" s="64" t="s">
        <v>3</v>
      </c>
      <c r="W3" s="64" t="s">
        <v>4</v>
      </c>
      <c r="X3" s="64" t="s">
        <v>3</v>
      </c>
      <c r="Y3" s="64" t="s">
        <v>4</v>
      </c>
      <c r="Z3" s="64" t="s">
        <v>3</v>
      </c>
      <c r="AA3" s="64" t="s">
        <v>4</v>
      </c>
      <c r="AB3" s="64" t="s">
        <v>3</v>
      </c>
      <c r="AC3" s="64" t="s">
        <v>4</v>
      </c>
      <c r="AD3" s="64" t="s">
        <v>3</v>
      </c>
      <c r="AE3" s="64" t="s">
        <v>4</v>
      </c>
    </row>
    <row r="4" spans="1:31" ht="18.75" x14ac:dyDescent="0.3">
      <c r="A4" s="24" t="s">
        <v>32</v>
      </c>
      <c r="B4" s="65">
        <v>393</v>
      </c>
      <c r="C4" s="65">
        <v>128161410</v>
      </c>
      <c r="D4" s="65">
        <v>159</v>
      </c>
      <c r="E4" s="65">
        <v>54581230</v>
      </c>
      <c r="F4" s="65">
        <v>573</v>
      </c>
      <c r="G4" s="65">
        <v>127638850</v>
      </c>
      <c r="H4" s="65">
        <v>60</v>
      </c>
      <c r="I4" s="65">
        <v>11090840</v>
      </c>
      <c r="J4" s="65">
        <v>68</v>
      </c>
      <c r="K4" s="65">
        <v>14072500</v>
      </c>
      <c r="L4" s="65">
        <v>212</v>
      </c>
      <c r="M4" s="65">
        <v>75296380</v>
      </c>
      <c r="N4" s="65">
        <v>90</v>
      </c>
      <c r="O4" s="65">
        <v>21169260</v>
      </c>
      <c r="P4" s="65">
        <v>40</v>
      </c>
      <c r="Q4" s="65">
        <v>10032280</v>
      </c>
      <c r="R4" s="65">
        <v>144</v>
      </c>
      <c r="S4" s="65">
        <v>29875380</v>
      </c>
      <c r="T4" s="65">
        <v>142</v>
      </c>
      <c r="U4" s="65">
        <v>29047220</v>
      </c>
      <c r="V4" s="65">
        <v>6</v>
      </c>
      <c r="W4" s="65">
        <v>2519510</v>
      </c>
      <c r="X4" s="65">
        <v>111</v>
      </c>
      <c r="Y4" s="65">
        <v>23775260</v>
      </c>
      <c r="Z4" s="65">
        <v>81</v>
      </c>
      <c r="AA4" s="65">
        <v>18504850</v>
      </c>
      <c r="AB4" s="65">
        <v>432</v>
      </c>
      <c r="AC4" s="65">
        <v>145134680</v>
      </c>
      <c r="AD4" s="65">
        <v>93</v>
      </c>
      <c r="AE4" s="65">
        <v>20428840</v>
      </c>
    </row>
    <row r="5" spans="1:31" ht="18.75" x14ac:dyDescent="0.3">
      <c r="A5" s="24" t="s">
        <v>33</v>
      </c>
      <c r="B5" s="65">
        <v>280</v>
      </c>
      <c r="C5" s="65">
        <v>84371130</v>
      </c>
      <c r="D5" s="65">
        <v>69</v>
      </c>
      <c r="E5" s="65">
        <v>20794540</v>
      </c>
      <c r="F5" s="65">
        <v>945</v>
      </c>
      <c r="G5" s="65">
        <v>224851440</v>
      </c>
      <c r="H5" s="65">
        <v>15</v>
      </c>
      <c r="I5" s="65">
        <v>3582380</v>
      </c>
      <c r="J5" s="65">
        <v>38</v>
      </c>
      <c r="K5" s="65">
        <v>8572500</v>
      </c>
      <c r="L5" s="65">
        <v>82</v>
      </c>
      <c r="M5" s="65">
        <v>28047020</v>
      </c>
      <c r="N5" s="65">
        <v>95</v>
      </c>
      <c r="O5" s="65">
        <v>23630330</v>
      </c>
      <c r="P5" s="65">
        <v>37</v>
      </c>
      <c r="Q5" s="65">
        <v>8684810</v>
      </c>
      <c r="R5" s="65">
        <v>50</v>
      </c>
      <c r="S5" s="65">
        <v>11934960</v>
      </c>
      <c r="T5" s="65">
        <v>205</v>
      </c>
      <c r="U5" s="65">
        <v>49185120</v>
      </c>
      <c r="V5" s="65">
        <v>3</v>
      </c>
      <c r="W5" s="65">
        <v>998990</v>
      </c>
      <c r="X5" s="65">
        <v>142</v>
      </c>
      <c r="Y5" s="65">
        <v>29655970</v>
      </c>
      <c r="Z5" s="65">
        <v>183</v>
      </c>
      <c r="AA5" s="65">
        <v>47086220</v>
      </c>
      <c r="AB5" s="65">
        <v>475</v>
      </c>
      <c r="AC5" s="65">
        <v>156561430</v>
      </c>
      <c r="AD5" s="65">
        <v>35</v>
      </c>
      <c r="AE5" s="65">
        <v>8078000</v>
      </c>
    </row>
    <row r="6" spans="1:31" ht="18.75" x14ac:dyDescent="0.3">
      <c r="A6" s="24" t="s">
        <v>34</v>
      </c>
      <c r="B6" s="65">
        <f>Худудлар!D35</f>
        <v>300</v>
      </c>
      <c r="C6" s="65">
        <f>Худудлар!E35</f>
        <v>85370650</v>
      </c>
      <c r="D6" s="65">
        <f>Худудлар!F35</f>
        <v>39</v>
      </c>
      <c r="E6" s="65">
        <f>Худудлар!G35</f>
        <v>10019510</v>
      </c>
      <c r="F6" s="65">
        <f>Худудлар!H35</f>
        <v>454</v>
      </c>
      <c r="G6" s="65">
        <f>Худудлар!I35</f>
        <v>103382420</v>
      </c>
      <c r="H6" s="65">
        <f>Худудлар!J35</f>
        <v>8</v>
      </c>
      <c r="I6" s="65">
        <f>Худудлар!K35</f>
        <v>1819320</v>
      </c>
      <c r="J6" s="65">
        <f>Худудлар!L35</f>
        <v>68</v>
      </c>
      <c r="K6" s="65">
        <f>Худудлар!M35</f>
        <v>19585380</v>
      </c>
      <c r="L6" s="65">
        <f>Худудлар!N35</f>
        <v>101</v>
      </c>
      <c r="M6" s="65">
        <f>Худудлар!O35</f>
        <v>29188810</v>
      </c>
      <c r="N6" s="65">
        <f>Худудлар!P35</f>
        <v>50</v>
      </c>
      <c r="O6" s="65">
        <f>Худудлар!Q35</f>
        <v>13512240</v>
      </c>
      <c r="P6" s="65">
        <f>Худудлар!R35</f>
        <v>8</v>
      </c>
      <c r="Q6" s="65">
        <f>Худудлар!S35</f>
        <v>1863550</v>
      </c>
      <c r="R6" s="65">
        <f>Худудлар!T35</f>
        <v>86</v>
      </c>
      <c r="S6" s="65">
        <f>Худудлар!U35</f>
        <v>22192230</v>
      </c>
      <c r="T6" s="65">
        <f>Худудлар!V35</f>
        <v>73</v>
      </c>
      <c r="U6" s="65">
        <f>Худудлар!W35</f>
        <v>17464110</v>
      </c>
      <c r="V6" s="65">
        <f>Худудлар!X35</f>
        <v>1</v>
      </c>
      <c r="W6" s="65">
        <f>Худудлар!Y35</f>
        <v>258610</v>
      </c>
      <c r="X6" s="65">
        <f>Худудлар!Z35</f>
        <v>86</v>
      </c>
      <c r="Y6" s="65">
        <f>Худудлар!AA35</f>
        <v>17664210</v>
      </c>
      <c r="Z6" s="65">
        <f>Худудлар!AB35</f>
        <v>43</v>
      </c>
      <c r="AA6" s="65">
        <f>Худудлар!AC35</f>
        <v>20516590</v>
      </c>
      <c r="AB6" s="65">
        <f>Худудлар!AD35</f>
        <v>179</v>
      </c>
      <c r="AC6" s="65">
        <f>Худудлар!AE35</f>
        <v>60364140</v>
      </c>
      <c r="AD6" s="65">
        <f>Худудлар!AF35</f>
        <v>20</v>
      </c>
      <c r="AE6" s="65">
        <f>Худудлар!AG35</f>
        <v>4075890</v>
      </c>
    </row>
    <row r="7" spans="1:31" ht="18.75" x14ac:dyDescent="0.3">
      <c r="A7" s="24" t="s">
        <v>35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</row>
    <row r="8" spans="1:31" ht="18.75" x14ac:dyDescent="0.3">
      <c r="A8" s="24" t="s">
        <v>36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</row>
    <row r="9" spans="1:31" ht="18.75" x14ac:dyDescent="0.3">
      <c r="A9" s="24" t="s">
        <v>37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</row>
    <row r="10" spans="1:31" ht="18.75" x14ac:dyDescent="0.3">
      <c r="A10" s="24" t="s">
        <v>38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</row>
    <row r="11" spans="1:31" ht="18.75" x14ac:dyDescent="0.3">
      <c r="A11" s="24" t="s">
        <v>39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</row>
    <row r="12" spans="1:31" ht="18.75" x14ac:dyDescent="0.3">
      <c r="A12" s="24" t="s">
        <v>40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</row>
    <row r="13" spans="1:31" ht="18.75" x14ac:dyDescent="0.3">
      <c r="A13" s="24" t="s">
        <v>41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</row>
    <row r="14" spans="1:31" ht="18.75" x14ac:dyDescent="0.3">
      <c r="A14" s="24" t="s">
        <v>42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</row>
    <row r="15" spans="1:31" ht="18.75" x14ac:dyDescent="0.3">
      <c r="A15" s="24" t="s">
        <v>43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</row>
    <row r="16" spans="1:31" ht="18.75" x14ac:dyDescent="0.3">
      <c r="A16" s="66" t="s">
        <v>1</v>
      </c>
      <c r="B16" s="67">
        <f>SUM(B4:B15)</f>
        <v>973</v>
      </c>
      <c r="C16" s="67">
        <f t="shared" ref="C16:AE16" si="0">SUM(C4:C15)</f>
        <v>297903190</v>
      </c>
      <c r="D16" s="67">
        <f t="shared" si="0"/>
        <v>267</v>
      </c>
      <c r="E16" s="67">
        <f t="shared" si="0"/>
        <v>85395280</v>
      </c>
      <c r="F16" s="67">
        <f t="shared" si="0"/>
        <v>1972</v>
      </c>
      <c r="G16" s="67">
        <f t="shared" si="0"/>
        <v>455872710</v>
      </c>
      <c r="H16" s="67">
        <f t="shared" si="0"/>
        <v>83</v>
      </c>
      <c r="I16" s="67">
        <f t="shared" si="0"/>
        <v>16492540</v>
      </c>
      <c r="J16" s="67">
        <f t="shared" si="0"/>
        <v>174</v>
      </c>
      <c r="K16" s="67">
        <f t="shared" si="0"/>
        <v>42230380</v>
      </c>
      <c r="L16" s="67">
        <f t="shared" si="0"/>
        <v>395</v>
      </c>
      <c r="M16" s="67">
        <f t="shared" si="0"/>
        <v>132532210</v>
      </c>
      <c r="N16" s="67">
        <f t="shared" si="0"/>
        <v>235</v>
      </c>
      <c r="O16" s="67">
        <f t="shared" si="0"/>
        <v>58311830</v>
      </c>
      <c r="P16" s="67">
        <f t="shared" si="0"/>
        <v>85</v>
      </c>
      <c r="Q16" s="67">
        <f t="shared" si="0"/>
        <v>20580640</v>
      </c>
      <c r="R16" s="67">
        <f t="shared" si="0"/>
        <v>280</v>
      </c>
      <c r="S16" s="67">
        <f t="shared" si="0"/>
        <v>64002570</v>
      </c>
      <c r="T16" s="67">
        <f t="shared" si="0"/>
        <v>420</v>
      </c>
      <c r="U16" s="67">
        <f t="shared" si="0"/>
        <v>95696450</v>
      </c>
      <c r="V16" s="67">
        <f t="shared" si="0"/>
        <v>10</v>
      </c>
      <c r="W16" s="67">
        <f t="shared" si="0"/>
        <v>3777110</v>
      </c>
      <c r="X16" s="67">
        <f t="shared" si="0"/>
        <v>339</v>
      </c>
      <c r="Y16" s="67">
        <f t="shared" si="0"/>
        <v>71095440</v>
      </c>
      <c r="Z16" s="67">
        <f t="shared" si="0"/>
        <v>307</v>
      </c>
      <c r="AA16" s="67">
        <f t="shared" si="0"/>
        <v>86107660</v>
      </c>
      <c r="AB16" s="67">
        <f t="shared" si="0"/>
        <v>1086</v>
      </c>
      <c r="AC16" s="67">
        <f t="shared" si="0"/>
        <v>362060250</v>
      </c>
      <c r="AD16" s="67">
        <f t="shared" si="0"/>
        <v>148</v>
      </c>
      <c r="AE16" s="67">
        <f t="shared" si="0"/>
        <v>32582730</v>
      </c>
    </row>
  </sheetData>
  <mergeCells count="17">
    <mergeCell ref="V2:W2"/>
    <mergeCell ref="X2:Y2"/>
    <mergeCell ref="Z2:AA2"/>
    <mergeCell ref="AB2:AC2"/>
    <mergeCell ref="A1:AE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AD2:AE2"/>
    <mergeCell ref="R2:S2"/>
    <mergeCell ref="T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Жами</vt:lpstr>
      <vt:lpstr>Худудлар</vt:lpstr>
      <vt:lpstr>Лист1</vt:lpstr>
      <vt:lpstr>Ойлар кесимида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2026-04-06T07:12:14Z</dcterms:modified>
</cp:coreProperties>
</file>