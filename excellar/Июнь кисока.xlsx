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D5474499-7979-4947-A91F-BD93B758427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Жами" sheetId="1" r:id="rId1"/>
    <sheet name="Худудлар" sheetId="2" r:id="rId2"/>
    <sheet name="Лист1" sheetId="3" r:id="rId3"/>
    <sheet name="Ойлар кесимида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/>
  <c r="G9" i="4" s="1"/>
  <c r="H34" i="2"/>
  <c r="C27" i="3" s="1"/>
  <c r="G34" i="2"/>
  <c r="E9" i="4" s="1"/>
  <c r="F34" i="2"/>
  <c r="D9" i="4" s="1"/>
  <c r="Q34" i="2"/>
  <c r="O9" i="4" s="1"/>
  <c r="W34" i="2"/>
  <c r="U9" i="4" s="1"/>
  <c r="AC34" i="2"/>
  <c r="AA9" i="4" s="1"/>
  <c r="O34" i="2"/>
  <c r="M9" i="4" s="1"/>
  <c r="M34" i="2"/>
  <c r="K9" i="4" s="1"/>
  <c r="U34" i="2"/>
  <c r="S9" i="4" s="1"/>
  <c r="AG34" i="2"/>
  <c r="AE9" i="4" s="1"/>
  <c r="S34" i="2"/>
  <c r="Q9" i="4" s="1"/>
  <c r="AA34" i="2"/>
  <c r="Y9" i="4" s="1"/>
  <c r="E34" i="2"/>
  <c r="C9" i="4" s="1"/>
  <c r="AE34" i="2"/>
  <c r="AC9" i="4" s="1"/>
  <c r="Y34" i="2"/>
  <c r="W9" i="4" s="1"/>
  <c r="D34" i="2"/>
  <c r="B9" i="4" s="1"/>
  <c r="J34" i="2"/>
  <c r="H9" i="4" s="1"/>
  <c r="K34" i="2"/>
  <c r="I9" i="4" s="1"/>
  <c r="L34" i="2"/>
  <c r="J9" i="4" s="1"/>
  <c r="N34" i="2"/>
  <c r="L9" i="4" s="1"/>
  <c r="P34" i="2"/>
  <c r="C14" i="3" s="1"/>
  <c r="R34" i="2"/>
  <c r="P9" i="4" s="1"/>
  <c r="T34" i="2"/>
  <c r="R9" i="4" s="1"/>
  <c r="V34" i="2"/>
  <c r="T9" i="4" s="1"/>
  <c r="X34" i="2"/>
  <c r="V9" i="4" s="1"/>
  <c r="Z34" i="2"/>
  <c r="X9" i="4" s="1"/>
  <c r="AB34" i="2"/>
  <c r="Z9" i="4" s="1"/>
  <c r="AD34" i="2"/>
  <c r="AB9" i="4" s="1"/>
  <c r="AF34" i="2"/>
  <c r="AD9" i="4" s="1"/>
  <c r="C29" i="3" l="1"/>
  <c r="C30" i="3"/>
  <c r="N9" i="4"/>
  <c r="F9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C32" i="2"/>
  <c r="C32" i="1" s="1"/>
  <c r="E32" i="1" s="1"/>
  <c r="C33" i="2"/>
  <c r="B32" i="2"/>
  <c r="B32" i="1" s="1"/>
  <c r="D32" i="1" s="1"/>
  <c r="B33" i="2"/>
  <c r="C22" i="2"/>
  <c r="C14" i="2"/>
  <c r="C13" i="2"/>
  <c r="C12" i="2"/>
  <c r="C10" i="2"/>
  <c r="C7" i="2"/>
  <c r="C6" i="2"/>
  <c r="C5" i="2"/>
  <c r="C4" i="2"/>
  <c r="C31" i="2"/>
  <c r="C30" i="2"/>
  <c r="C29" i="2"/>
  <c r="C28" i="2"/>
  <c r="C27" i="2"/>
  <c r="C8" i="2"/>
  <c r="B5" i="2"/>
  <c r="B4" i="2"/>
  <c r="B6" i="2"/>
  <c r="B7" i="2"/>
  <c r="B8" i="2"/>
  <c r="B9" i="2"/>
  <c r="C9" i="2"/>
  <c r="B10" i="2"/>
  <c r="B11" i="2"/>
  <c r="C11" i="2"/>
  <c r="B12" i="2"/>
  <c r="B13" i="2"/>
  <c r="B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B23" i="2"/>
  <c r="C23" i="2"/>
  <c r="B24" i="2"/>
  <c r="C24" i="2"/>
  <c r="B25" i="2"/>
  <c r="C25" i="2"/>
  <c r="B26" i="2"/>
  <c r="C26" i="2"/>
  <c r="B27" i="2"/>
  <c r="B28" i="2"/>
  <c r="B29" i="2"/>
  <c r="B30" i="2"/>
  <c r="B31" i="2"/>
  <c r="N7" i="4"/>
  <c r="R7" i="4"/>
  <c r="H7" i="4"/>
  <c r="J7" i="4"/>
  <c r="L7" i="4"/>
  <c r="P7" i="4"/>
  <c r="T7" i="4"/>
  <c r="V7" i="4"/>
  <c r="X7" i="4"/>
  <c r="Z7" i="4"/>
  <c r="AD7" i="4"/>
  <c r="D7" i="4"/>
  <c r="F7" i="4"/>
  <c r="B7" i="4"/>
  <c r="F34" i="1"/>
  <c r="C33" i="1" l="1"/>
  <c r="E33" i="1" s="1"/>
  <c r="C34" i="2"/>
  <c r="B33" i="1"/>
  <c r="D33" i="1" s="1"/>
  <c r="B34" i="2"/>
  <c r="AB7" i="4"/>
  <c r="AB16" i="4" s="1"/>
  <c r="T16" i="4"/>
  <c r="H16" i="4"/>
  <c r="R16" i="4"/>
  <c r="F16" i="4"/>
  <c r="Z16" i="4"/>
  <c r="X16" i="4"/>
  <c r="V16" i="4"/>
  <c r="P16" i="4"/>
  <c r="L16" i="4"/>
  <c r="J16" i="4"/>
  <c r="N16" i="4"/>
  <c r="B16" i="4"/>
  <c r="D16" i="4"/>
  <c r="AD16" i="4"/>
  <c r="C20" i="1"/>
  <c r="E20" i="1" s="1"/>
  <c r="B20" i="1"/>
  <c r="D20" i="1" s="1"/>
  <c r="C19" i="1"/>
  <c r="E19" i="1" s="1"/>
  <c r="B19" i="1"/>
  <c r="D19" i="1" s="1"/>
  <c r="I7" i="4" l="1"/>
  <c r="I16" i="4" s="1"/>
  <c r="M7" i="4"/>
  <c r="M16" i="4" s="1"/>
  <c r="AA7" i="4"/>
  <c r="AA16" i="4" s="1"/>
  <c r="Q7" i="4"/>
  <c r="Q16" i="4" s="1"/>
  <c r="W7" i="4"/>
  <c r="W16" i="4" s="1"/>
  <c r="AC7" i="4"/>
  <c r="AC16" i="4" s="1"/>
  <c r="K7" i="4"/>
  <c r="K16" i="4" s="1"/>
  <c r="C7" i="4"/>
  <c r="C16" i="4" s="1"/>
  <c r="AE7" i="4"/>
  <c r="AE16" i="4" s="1"/>
  <c r="O7" i="4"/>
  <c r="O16" i="4" s="1"/>
  <c r="E7" i="4"/>
  <c r="E16" i="4" s="1"/>
  <c r="Y7" i="4"/>
  <c r="Y16" i="4" s="1"/>
  <c r="G7" i="4"/>
  <c r="G16" i="4" s="1"/>
  <c r="U7" i="4"/>
  <c r="U16" i="4" s="1"/>
  <c r="S7" i="4"/>
  <c r="S16" i="4" s="1"/>
  <c r="C18" i="1"/>
  <c r="E18" i="1" s="1"/>
  <c r="B18" i="1"/>
  <c r="D18" i="1" s="1"/>
  <c r="C17" i="1" l="1"/>
  <c r="E17" i="1" s="1"/>
  <c r="B17" i="1"/>
  <c r="D17" i="1" s="1"/>
  <c r="C16" i="1"/>
  <c r="E16" i="1" s="1"/>
  <c r="B16" i="1"/>
  <c r="D16" i="1" s="1"/>
  <c r="C15" i="1"/>
  <c r="E15" i="1" s="1"/>
  <c r="B15" i="1"/>
  <c r="D15" i="1" s="1"/>
  <c r="C14" i="1"/>
  <c r="E14" i="1" s="1"/>
  <c r="B14" i="1"/>
  <c r="D14" i="1" s="1"/>
  <c r="C13" i="1" l="1"/>
  <c r="E13" i="1" s="1"/>
  <c r="B13" i="1"/>
  <c r="D13" i="1" s="1"/>
  <c r="C12" i="1"/>
  <c r="E12" i="1" s="1"/>
  <c r="B12" i="1"/>
  <c r="D12" i="1" s="1"/>
  <c r="C11" i="1" l="1"/>
  <c r="E11" i="1" s="1"/>
  <c r="B11" i="1"/>
  <c r="D11" i="1" s="1"/>
  <c r="C10" i="1" l="1"/>
  <c r="E10" i="1" s="1"/>
  <c r="B10" i="1"/>
  <c r="D10" i="1" s="1"/>
  <c r="C9" i="1"/>
  <c r="E9" i="1" s="1"/>
  <c r="B9" i="1"/>
  <c r="D9" i="1" s="1"/>
  <c r="C8" i="1"/>
  <c r="E8" i="1" s="1"/>
  <c r="B8" i="1"/>
  <c r="D8" i="1" s="1"/>
  <c r="C7" i="1" l="1"/>
  <c r="E7" i="1" s="1"/>
  <c r="B7" i="1"/>
  <c r="D7" i="1" s="1"/>
  <c r="C6" i="1" l="1"/>
  <c r="E6" i="1" s="1"/>
  <c r="B6" i="1"/>
  <c r="D6" i="1" s="1"/>
  <c r="C5" i="1"/>
  <c r="E5" i="1" s="1"/>
  <c r="B5" i="1"/>
  <c r="D5" i="1" s="1"/>
  <c r="B31" i="1" l="1"/>
  <c r="D31" i="1" s="1"/>
  <c r="B28" i="1"/>
  <c r="D28" i="1" s="1"/>
  <c r="C27" i="1"/>
  <c r="E27" i="1" s="1"/>
  <c r="B27" i="1"/>
  <c r="D27" i="1" s="1"/>
  <c r="C26" i="1"/>
  <c r="E26" i="1" s="1"/>
  <c r="B26" i="1"/>
  <c r="D26" i="1" s="1"/>
  <c r="C25" i="1"/>
  <c r="E25" i="1" s="1"/>
  <c r="B25" i="1"/>
  <c r="D25" i="1" s="1"/>
  <c r="B21" i="1"/>
  <c r="D21" i="1" s="1"/>
  <c r="B22" i="1"/>
  <c r="D22" i="1" s="1"/>
  <c r="B23" i="1"/>
  <c r="D23" i="1" s="1"/>
  <c r="B24" i="1"/>
  <c r="D24" i="1" s="1"/>
  <c r="B29" i="1"/>
  <c r="D29" i="1" s="1"/>
  <c r="B30" i="1"/>
  <c r="D30" i="1" s="1"/>
  <c r="G34" i="1" l="1"/>
  <c r="D16" i="3"/>
  <c r="C39" i="3"/>
  <c r="D13" i="3"/>
  <c r="C34" i="3"/>
  <c r="D15" i="3"/>
  <c r="C35" i="3"/>
  <c r="D12" i="3"/>
  <c r="C38" i="3"/>
  <c r="D11" i="3"/>
  <c r="C33" i="3"/>
  <c r="D10" i="3"/>
  <c r="C31" i="3"/>
  <c r="D17" i="3"/>
  <c r="C40" i="3"/>
  <c r="C37" i="3"/>
  <c r="D9" i="3"/>
  <c r="C36" i="3"/>
  <c r="D5" i="3"/>
  <c r="C28" i="3"/>
  <c r="D18" i="3"/>
  <c r="C41" i="3"/>
  <c r="D7" i="3"/>
  <c r="C24" i="1"/>
  <c r="E24" i="1" s="1"/>
  <c r="C23" i="1"/>
  <c r="E23" i="1" s="1"/>
  <c r="C22" i="1"/>
  <c r="E22" i="1" s="1"/>
  <c r="C21" i="1"/>
  <c r="E21" i="1" s="1"/>
  <c r="C28" i="1"/>
  <c r="E28" i="1" s="1"/>
  <c r="C29" i="1"/>
  <c r="E29" i="1" s="1"/>
  <c r="C30" i="1"/>
  <c r="E30" i="1" s="1"/>
  <c r="C31" i="1"/>
  <c r="E31" i="1" s="1"/>
  <c r="B4" i="1" l="1"/>
  <c r="C4" i="1"/>
  <c r="C7" i="3"/>
  <c r="E4" i="1" l="1"/>
  <c r="E34" i="1" s="1"/>
  <c r="D4" i="1"/>
  <c r="D34" i="1" s="1"/>
  <c r="B34" i="1"/>
  <c r="D30" i="3"/>
  <c r="D28" i="3" l="1"/>
  <c r="C5" i="3"/>
  <c r="D39" i="3" l="1"/>
  <c r="C16" i="3"/>
  <c r="D34" i="3"/>
  <c r="C13" i="3"/>
  <c r="D35" i="3" l="1"/>
  <c r="C15" i="3"/>
  <c r="D8" i="3"/>
  <c r="D29" i="3"/>
  <c r="C8" i="3"/>
  <c r="C34" i="1"/>
  <c r="D14" i="3" l="1"/>
  <c r="D37" i="3"/>
  <c r="D6" i="3"/>
  <c r="D32" i="3"/>
  <c r="C6" i="3"/>
  <c r="C32" i="3"/>
  <c r="D33" i="3"/>
  <c r="C11" i="3"/>
  <c r="D4" i="3"/>
  <c r="D27" i="3"/>
  <c r="C4" i="3"/>
  <c r="D31" i="3"/>
  <c r="C10" i="3"/>
  <c r="D36" i="3"/>
  <c r="C9" i="3"/>
  <c r="D41" i="3"/>
  <c r="C18" i="3"/>
  <c r="D40" i="3"/>
  <c r="C17" i="3"/>
  <c r="D38" i="3"/>
  <c r="C12" i="3"/>
  <c r="D20" i="3" l="1"/>
  <c r="C43" i="3"/>
  <c r="C20" i="3"/>
  <c r="D43" i="3"/>
</calcChain>
</file>

<file path=xl/sharedStrings.xml><?xml version="1.0" encoding="utf-8"?>
<sst xmlns="http://schemas.openxmlformats.org/spreadsheetml/2006/main" count="165" uniqueCount="46">
  <si>
    <t>Кун</t>
  </si>
  <si>
    <t>Жами</t>
  </si>
  <si>
    <t>Онлайн тўлов</t>
  </si>
  <si>
    <t>Сони</t>
  </si>
  <si>
    <t>Сумма</t>
  </si>
  <si>
    <t xml:space="preserve"> Сумма</t>
  </si>
  <si>
    <t>Самарканд</t>
  </si>
  <si>
    <t>Навои</t>
  </si>
  <si>
    <t>Бухоро</t>
  </si>
  <si>
    <t>Нукус</t>
  </si>
  <si>
    <t>Ургенч</t>
  </si>
  <si>
    <t>Хива</t>
  </si>
  <si>
    <t>Карши</t>
  </si>
  <si>
    <t>Термез</t>
  </si>
  <si>
    <t>Кунгрод</t>
  </si>
  <si>
    <t>Андижон</t>
  </si>
  <si>
    <t>Қўқон</t>
  </si>
  <si>
    <t>Марғилон</t>
  </si>
  <si>
    <t>Наманган</t>
  </si>
  <si>
    <t>Терминал тўлов</t>
  </si>
  <si>
    <t>Тошкент Марказий</t>
  </si>
  <si>
    <t>Тошкент Жанубий</t>
  </si>
  <si>
    <t>Худуд</t>
  </si>
  <si>
    <t>Тошкент Шимолий</t>
  </si>
  <si>
    <t>Самарқанд</t>
  </si>
  <si>
    <t>Урганч</t>
  </si>
  <si>
    <t>Қўнғрод</t>
  </si>
  <si>
    <t>Термиз</t>
  </si>
  <si>
    <t>№</t>
  </si>
  <si>
    <t>Жами:</t>
  </si>
  <si>
    <t>Чиптаҳоналардаги киоскалардан сотилган
 чипталар тўғрисида маълумотнома (ойлар кесимида)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</si>
  <si>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</si>
  <si>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</si>
  <si>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</si>
  <si>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</si>
  <si>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</si>
  <si>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</si>
  <si>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</si>
  <si>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</si>
  <si>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</si>
  <si>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</si>
  <si>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</si>
  <si>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</si>
  <si>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Чиптаҳоналардаги киоскалардан сотилган
 чипталар тўғрисида маълумотнома 01.06.2026-30.06.2026. йил.</t>
  </si>
  <si>
    <t>Инфокиоскалардан 1-Июнь 30-Июнь кунига қадар сотилган чипталар
 тўғрисида маълумотнома (худудлар кесимида (сумма))</t>
  </si>
  <si>
    <t xml:space="preserve">Инфокиоскалардан  1-Июнь 30-Июнь кунига қадар сотилган чипталар
 тўғрисида маълумотнома (худудлар кесимида (сотилган чипталар сони))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</si>
</sst>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_₽_-;\-* #,##0\ _₽_-;_-* &quot;-&quot;\ _₽_-;_-@_-"/>
    <numFmt numFmtId="165" formatCode="#,##0\ _₽"/>
  </numFmts>
  <fonts count="1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1"/>
      <color indexed="8"/>
      <name val="Calibri"/>
      <family val="2"/>
      <scheme val="minor"/>
    </font>
    <font>
      <b/>
      <sz val="26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9" fillId="0" borderId="0"/>
    <xf numFmtId="43" fontId="10" fillId="0" borderId="0" applyFont="0" applyFill="0" applyBorder="0" applyAlignment="0" applyProtection="0"/>
    <xf numFmtId="0" fontId="12" fillId="0" borderId="0"/>
  </cellStyleXfs>
  <cellXfs count="105">
    <xf numFmtId="0" fontId="0" fillId="0" borderId="0" xfId="0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7" fillId="5" borderId="13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6" borderId="28" xfId="0" applyFont="1" applyFill="1" applyBorder="1" applyAlignment="1">
      <alignment horizontal="center" vertical="center"/>
    </xf>
    <xf numFmtId="164" fontId="6" fillId="0" borderId="28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11" fillId="0" borderId="31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/>
    </xf>
    <xf numFmtId="0" fontId="1" fillId="5" borderId="28" xfId="0" applyFont="1" applyFill="1" applyBorder="1" applyAlignment="1">
      <alignment vertical="center"/>
    </xf>
    <xf numFmtId="0" fontId="1" fillId="5" borderId="28" xfId="0" applyFont="1" applyFill="1" applyBorder="1" applyAlignment="1"/>
    <xf numFmtId="0" fontId="3" fillId="6" borderId="32" xfId="0" applyFont="1" applyFill="1" applyBorder="1" applyAlignment="1">
      <alignment horizontal="center" vertical="center"/>
    </xf>
    <xf numFmtId="164" fontId="7" fillId="5" borderId="14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14" fontId="3" fillId="5" borderId="36" xfId="0" applyNumberFormat="1" applyFont="1" applyFill="1" applyBorder="1" applyAlignment="1">
      <alignment horizontal="center" vertical="center"/>
    </xf>
    <xf numFmtId="164" fontId="3" fillId="5" borderId="33" xfId="0" applyNumberFormat="1" applyFont="1" applyFill="1" applyBorder="1" applyAlignment="1">
      <alignment horizontal="center" vertical="center"/>
    </xf>
    <xf numFmtId="164" fontId="3" fillId="5" borderId="14" xfId="0" applyNumberFormat="1" applyFont="1" applyFill="1" applyBorder="1" applyAlignment="1">
      <alignment horizontal="center" vertical="center"/>
    </xf>
    <xf numFmtId="165" fontId="3" fillId="5" borderId="13" xfId="0" applyNumberFormat="1" applyFont="1" applyFill="1" applyBorder="1" applyAlignment="1">
      <alignment horizontal="center" vertical="center"/>
    </xf>
    <xf numFmtId="165" fontId="3" fillId="5" borderId="14" xfId="0" applyNumberFormat="1" applyFont="1" applyFill="1" applyBorder="1" applyAlignment="1">
      <alignment horizontal="center" vertical="center"/>
    </xf>
    <xf numFmtId="165" fontId="3" fillId="5" borderId="33" xfId="0" applyNumberFormat="1" applyFont="1" applyFill="1" applyBorder="1" applyAlignment="1">
      <alignment horizontal="center" vertical="center"/>
    </xf>
    <xf numFmtId="164" fontId="2" fillId="3" borderId="37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4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14" fontId="1" fillId="0" borderId="35" xfId="0" applyNumberFormat="1" applyFont="1" applyBorder="1" applyAlignment="1">
      <alignment horizontal="center" vertical="center"/>
    </xf>
    <xf numFmtId="0" fontId="7" fillId="5" borderId="36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165" fontId="6" fillId="0" borderId="28" xfId="0" applyNumberFormat="1" applyFont="1" applyBorder="1" applyAlignment="1">
      <alignment horizontal="center"/>
    </xf>
    <xf numFmtId="0" fontId="3" fillId="5" borderId="28" xfId="0" applyFont="1" applyFill="1" applyBorder="1" applyAlignment="1">
      <alignment horizontal="center" vertical="center"/>
    </xf>
    <xf numFmtId="165" fontId="3" fillId="5" borderId="28" xfId="0" applyNumberFormat="1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165" fontId="1" fillId="4" borderId="24" xfId="0" applyNumberFormat="1" applyFont="1" applyFill="1" applyBorder="1" applyAlignment="1">
      <alignment horizontal="center" vertical="center"/>
    </xf>
    <xf numFmtId="165" fontId="1" fillId="4" borderId="25" xfId="0" applyNumberFormat="1" applyFont="1" applyFill="1" applyBorder="1" applyAlignment="1">
      <alignment horizontal="center" vertical="center"/>
    </xf>
    <xf numFmtId="164" fontId="6" fillId="0" borderId="7" xfId="2" applyNumberFormat="1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165" fontId="1" fillId="4" borderId="24" xfId="0" applyNumberFormat="1" applyFont="1" applyFill="1" applyBorder="1" applyAlignment="1">
      <alignment horizontal="center" vertical="center"/>
    </xf>
    <xf numFmtId="165" fontId="1" fillId="4" borderId="25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64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164" fontId="13" fillId="4" borderId="13" xfId="0" applyNumberFormat="1" applyFont="1" applyFill="1" applyBorder="1" applyAlignment="1">
      <alignment horizontal="center" vertical="center" wrapText="1"/>
    </xf>
    <xf numFmtId="164" fontId="13" fillId="4" borderId="15" xfId="0" applyNumberFormat="1" applyFont="1" applyFill="1" applyBorder="1" applyAlignment="1">
      <alignment horizontal="center" vertical="center"/>
    </xf>
    <xf numFmtId="164" fontId="13" fillId="4" borderId="14" xfId="0" applyNumberFormat="1" applyFont="1" applyFill="1" applyBorder="1" applyAlignment="1">
      <alignment horizontal="center" vertical="center"/>
    </xf>
    <xf numFmtId="165" fontId="1" fillId="4" borderId="24" xfId="0" applyNumberFormat="1" applyFont="1" applyFill="1" applyBorder="1" applyAlignment="1">
      <alignment horizontal="center" vertical="center"/>
    </xf>
    <xf numFmtId="165" fontId="1" fillId="4" borderId="25" xfId="0" applyNumberFormat="1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7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1000000}"/>
    <cellStyle name="Обычный 3" xfId="3" xr:uid="{00000000-0005-0000-0000-000002000000}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(чипталар суммаси)</a:t>
            </a:r>
            <a:endParaRPr lang="ru-RU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Лист1!$B$4:$B$18</c:f>
              <c:strCache>
                <c:ptCount val="15"/>
                <c:pt idx="0">
                  <c:v>Самарқанд</c:v>
                </c:pt>
                <c:pt idx="1">
                  <c:v>Бухоро</c:v>
                </c:pt>
                <c:pt idx="2">
                  <c:v>Тошкент Шимолий</c:v>
                </c:pt>
                <c:pt idx="3">
                  <c:v>Тошкент Жанубий</c:v>
                </c:pt>
                <c:pt idx="4">
                  <c:v>Андижон</c:v>
                </c:pt>
                <c:pt idx="5">
                  <c:v>Нукус</c:v>
                </c:pt>
                <c:pt idx="6">
                  <c:v>Карши</c:v>
                </c:pt>
                <c:pt idx="7">
                  <c:v>Термиз</c:v>
                </c:pt>
                <c:pt idx="8">
                  <c:v>Қўнғрод</c:v>
                </c:pt>
                <c:pt idx="9">
                  <c:v>Марғилон</c:v>
                </c:pt>
                <c:pt idx="10">
                  <c:v>Урганч</c:v>
                </c:pt>
                <c:pt idx="11">
                  <c:v>Қўқон</c:v>
                </c:pt>
                <c:pt idx="12">
                  <c:v>Наманган</c:v>
                </c:pt>
                <c:pt idx="13">
                  <c:v>Хива</c:v>
                </c:pt>
                <c:pt idx="14">
                  <c:v>Навои</c:v>
                </c:pt>
              </c:strCache>
            </c:strRef>
          </c:cat>
          <c:val>
            <c:numRef>
              <c:f>Лист1!$C$4:$C$18</c:f>
              <c:numCache>
                <c:formatCode>_-* #\ ##0\ _₽_-;\-* #\ ##0\ _₽_-;_-* "-"\ _₽_-;_-@_-</c:formatCode>
                <c:ptCount val="15"/>
                <c:pt idx="0">
                  <c:v>1251</c:v>
                </c:pt>
                <c:pt idx="1">
                  <c:v>846</c:v>
                </c:pt>
                <c:pt idx="2">
                  <c:v>362</c:v>
                </c:pt>
                <c:pt idx="3">
                  <c:v>398</c:v>
                </c:pt>
                <c:pt idx="4">
                  <c:v>412</c:v>
                </c:pt>
                <c:pt idx="5">
                  <c:v>232</c:v>
                </c:pt>
                <c:pt idx="6">
                  <c:v>366</c:v>
                </c:pt>
                <c:pt idx="7">
                  <c:v>333</c:v>
                </c:pt>
                <c:pt idx="8">
                  <c:v>158</c:v>
                </c:pt>
                <c:pt idx="9">
                  <c:v>272</c:v>
                </c:pt>
                <c:pt idx="10">
                  <c:v>188</c:v>
                </c:pt>
                <c:pt idx="11">
                  <c:v>232</c:v>
                </c:pt>
                <c:pt idx="12">
                  <c:v>153</c:v>
                </c:pt>
                <c:pt idx="13">
                  <c:v>70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5-4D91-BD7D-4C734B4B92EA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Лист1!$B$4:$B$18</c:f>
              <c:strCache>
                <c:ptCount val="15"/>
                <c:pt idx="0">
                  <c:v>Самарқанд</c:v>
                </c:pt>
                <c:pt idx="1">
                  <c:v>Бухоро</c:v>
                </c:pt>
                <c:pt idx="2">
                  <c:v>Тошкент Шимолий</c:v>
                </c:pt>
                <c:pt idx="3">
                  <c:v>Тошкент Жанубий</c:v>
                </c:pt>
                <c:pt idx="4">
                  <c:v>Андижон</c:v>
                </c:pt>
                <c:pt idx="5">
                  <c:v>Нукус</c:v>
                </c:pt>
                <c:pt idx="6">
                  <c:v>Карши</c:v>
                </c:pt>
                <c:pt idx="7">
                  <c:v>Термиз</c:v>
                </c:pt>
                <c:pt idx="8">
                  <c:v>Қўнғрод</c:v>
                </c:pt>
                <c:pt idx="9">
                  <c:v>Марғилон</c:v>
                </c:pt>
                <c:pt idx="10">
                  <c:v>Урганч</c:v>
                </c:pt>
                <c:pt idx="11">
                  <c:v>Қўқон</c:v>
                </c:pt>
                <c:pt idx="12">
                  <c:v>Наманган</c:v>
                </c:pt>
                <c:pt idx="13">
                  <c:v>Хива</c:v>
                </c:pt>
                <c:pt idx="14">
                  <c:v>Навои</c:v>
                </c:pt>
              </c:strCache>
            </c:strRef>
          </c:cat>
          <c:val>
            <c:numRef>
              <c:f>Лист1!$D$4:$D$18</c:f>
              <c:numCache>
                <c:formatCode>_-* #\ ##0\ _₽_-;\-* #\ ##0\ _₽_-;_-* "-"\ _₽_-;_-@_-</c:formatCode>
                <c:ptCount val="15"/>
                <c:pt idx="0">
                  <c:v>305409040</c:v>
                </c:pt>
                <c:pt idx="1">
                  <c:v>237115560</c:v>
                </c:pt>
                <c:pt idx="2">
                  <c:v>109026850</c:v>
                </c:pt>
                <c:pt idx="3">
                  <c:v>106133150</c:v>
                </c:pt>
                <c:pt idx="4">
                  <c:v>89233400</c:v>
                </c:pt>
                <c:pt idx="5">
                  <c:v>89055210</c:v>
                </c:pt>
                <c:pt idx="6">
                  <c:v>84209810</c:v>
                </c:pt>
                <c:pt idx="7">
                  <c:v>73708360</c:v>
                </c:pt>
                <c:pt idx="8">
                  <c:v>59234100</c:v>
                </c:pt>
                <c:pt idx="9">
                  <c:v>58793030</c:v>
                </c:pt>
                <c:pt idx="10">
                  <c:v>53910560</c:v>
                </c:pt>
                <c:pt idx="11">
                  <c:v>47900770</c:v>
                </c:pt>
                <c:pt idx="12">
                  <c:v>29965360</c:v>
                </c:pt>
                <c:pt idx="13">
                  <c:v>19113270</c:v>
                </c:pt>
                <c:pt idx="14">
                  <c:v>4161890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5-4D91-BD7D-4C734B4B92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6729423"/>
        <c:axId val="1026725103"/>
      </c:barChart>
      <c:catAx>
        <c:axId val="102672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725103"/>
        <c:crosses val="autoZero"/>
        <c:auto val="1"/>
        <c:lblAlgn val="ctr"/>
        <c:lblOffset val="100"/>
        <c:noMultiLvlLbl val="0"/>
      </c:catAx>
      <c:valAx>
        <c:axId val="102672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72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сотилган (чипталар сони)</a:t>
            </a:r>
            <a:endParaRPr lang="ru-RU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4202811036940811E-2"/>
          <c:y val="8.8112994623125176E-2"/>
          <c:w val="0.94962975653147963"/>
          <c:h val="0.844684399633489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Лист1!$B$27:$B$41</c:f>
              <c:strCache>
                <c:ptCount val="15"/>
                <c:pt idx="0">
                  <c:v>Самарқанд</c:v>
                </c:pt>
                <c:pt idx="1">
                  <c:v>Бухоро</c:v>
                </c:pt>
                <c:pt idx="2">
                  <c:v>Андижон</c:v>
                </c:pt>
                <c:pt idx="3">
                  <c:v>Тошкент Жанубий</c:v>
                </c:pt>
                <c:pt idx="4">
                  <c:v>Карши</c:v>
                </c:pt>
                <c:pt idx="5">
                  <c:v>Тошкент Шимолий</c:v>
                </c:pt>
                <c:pt idx="6">
                  <c:v>Термиз</c:v>
                </c:pt>
                <c:pt idx="7">
                  <c:v>Марғилон</c:v>
                </c:pt>
                <c:pt idx="8">
                  <c:v>Қўқон</c:v>
                </c:pt>
                <c:pt idx="9">
                  <c:v>Нукус</c:v>
                </c:pt>
                <c:pt idx="10">
                  <c:v>Урганч</c:v>
                </c:pt>
                <c:pt idx="11">
                  <c:v>Қўнғрод</c:v>
                </c:pt>
                <c:pt idx="12">
                  <c:v>Наманган</c:v>
                </c:pt>
                <c:pt idx="13">
                  <c:v>Хива</c:v>
                </c:pt>
                <c:pt idx="14">
                  <c:v>Навои</c:v>
                </c:pt>
              </c:strCache>
            </c:strRef>
          </c:cat>
          <c:val>
            <c:numRef>
              <c:f>Лист1!$C$27:$C$41</c:f>
              <c:numCache>
                <c:formatCode>_-* #\ ##0\ _₽_-;\-* #\ ##0\ _₽_-;_-* "-"\ _₽_-;_-@_-</c:formatCode>
                <c:ptCount val="15"/>
                <c:pt idx="0">
                  <c:v>1251</c:v>
                </c:pt>
                <c:pt idx="1">
                  <c:v>846</c:v>
                </c:pt>
                <c:pt idx="2">
                  <c:v>412</c:v>
                </c:pt>
                <c:pt idx="3">
                  <c:v>398</c:v>
                </c:pt>
                <c:pt idx="4">
                  <c:v>366</c:v>
                </c:pt>
                <c:pt idx="5">
                  <c:v>362</c:v>
                </c:pt>
                <c:pt idx="6">
                  <c:v>333</c:v>
                </c:pt>
                <c:pt idx="7">
                  <c:v>272</c:v>
                </c:pt>
                <c:pt idx="8">
                  <c:v>232</c:v>
                </c:pt>
                <c:pt idx="9">
                  <c:v>232</c:v>
                </c:pt>
                <c:pt idx="10">
                  <c:v>188</c:v>
                </c:pt>
                <c:pt idx="11">
                  <c:v>158</c:v>
                </c:pt>
                <c:pt idx="12">
                  <c:v>153</c:v>
                </c:pt>
                <c:pt idx="13">
                  <c:v>70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8-4332-84FC-66A6B162F7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9762543"/>
        <c:axId val="1029759663"/>
      </c:barChart>
      <c:catAx>
        <c:axId val="102976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59663"/>
        <c:crosses val="autoZero"/>
        <c:auto val="1"/>
        <c:lblAlgn val="ctr"/>
        <c:lblOffset val="100"/>
        <c:noMultiLvlLbl val="0"/>
      </c:catAx>
      <c:valAx>
        <c:axId val="10297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6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470647</xdr:colOff>
      <xdr:row>1</xdr:row>
      <xdr:rowOff>5522</xdr:rowOff>
    </xdr:from>
    <xdr:to>
      <xdr:col>29</xdr:col>
      <xdr:colOff>299357</xdr:colOff>
      <xdr:row>22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9B14FF-C1CB-3C68-CD1F-5E3FA1153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462643</xdr:colOff>
      <xdr:row>23</xdr:row>
      <xdr:rowOff>172811</xdr:rowOff>
    </xdr:from>
    <xdr:to>
      <xdr:col>29</xdr:col>
      <xdr:colOff>299357</xdr:colOff>
      <xdr:row>49</xdr:row>
      <xdr:rowOff>40821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4C00905-2704-7B8A-8155-0ADE92469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K\Desktop\123\&#1054;&#1090;&#1095;&#1105;&#1090;\&#1048;&#1053;&#1060;&#1054;&#1050;&#1048;&#1054;&#1057;&#1050;&#1040;\2026\&#1052;&#1072;&#1088;&#1090;%20%20&#1082;&#1080;&#1089;&#1086;&#1082;&#1072;.xlsx" TargetMode="External"/><Relationship Id="rId1" Type="http://schemas.openxmlformats.org/officeDocument/2006/relationships/externalLinkPath" Target="&#1052;&#1072;&#1088;&#1090;%20%20&#1082;&#1080;&#1089;&#1086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Жами"/>
      <sheetName val="Худудлар"/>
      <sheetName val="Лист1"/>
      <sheetName val="Ойлар кесимида"/>
    </sheetNames>
    <sheetDataSet>
      <sheetData sheetId="0"/>
      <sheetData sheetId="1">
        <row r="35">
          <cell r="D35">
            <v>300</v>
          </cell>
          <cell r="E35">
            <v>85370650</v>
          </cell>
          <cell r="F35">
            <v>39</v>
          </cell>
          <cell r="G35">
            <v>10019510</v>
          </cell>
          <cell r="H35">
            <v>454</v>
          </cell>
          <cell r="I35">
            <v>103382420</v>
          </cell>
          <cell r="J35">
            <v>8</v>
          </cell>
          <cell r="K35">
            <v>1819320</v>
          </cell>
          <cell r="L35">
            <v>68</v>
          </cell>
          <cell r="M35">
            <v>19585380</v>
          </cell>
          <cell r="N35">
            <v>101</v>
          </cell>
          <cell r="O35">
            <v>29188810</v>
          </cell>
          <cell r="P35">
            <v>50</v>
          </cell>
          <cell r="Q35">
            <v>13512240</v>
          </cell>
          <cell r="R35">
            <v>8</v>
          </cell>
          <cell r="S35">
            <v>1863550</v>
          </cell>
          <cell r="T35">
            <v>86</v>
          </cell>
          <cell r="U35">
            <v>22192230</v>
          </cell>
          <cell r="V35">
            <v>73</v>
          </cell>
          <cell r="W35">
            <v>17464110</v>
          </cell>
          <cell r="X35">
            <v>1</v>
          </cell>
          <cell r="Y35">
            <v>258610</v>
          </cell>
          <cell r="Z35">
            <v>86</v>
          </cell>
          <cell r="AA35">
            <v>17664210</v>
          </cell>
          <cell r="AB35">
            <v>43</v>
          </cell>
          <cell r="AC35">
            <v>20516590</v>
          </cell>
          <cell r="AD35">
            <v>179</v>
          </cell>
          <cell r="AE35">
            <v>60364140</v>
          </cell>
          <cell r="AF35">
            <v>20</v>
          </cell>
          <cell r="AG35">
            <v>4075890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zoomScale="85" zoomScaleNormal="85" workbookViewId="0">
      <selection activeCell="G4" sqref="G4:G31"/>
    </sheetView>
  </sheetViews>
  <sheetFormatPr defaultRowHeight="15" x14ac:dyDescent="0.25"/>
  <cols>
    <col min="1" max="1" width="11.85546875" customWidth="1"/>
    <col min="2" max="2" width="11.5703125" bestFit="1" customWidth="1"/>
    <col min="3" max="3" width="22" bestFit="1" customWidth="1"/>
    <col min="4" max="4" width="9.85546875" bestFit="1" customWidth="1"/>
    <col min="5" max="5" width="18" bestFit="1" customWidth="1"/>
    <col min="6" max="6" width="9.85546875" bestFit="1" customWidth="1"/>
    <col min="7" max="7" width="20.140625" style="48" bestFit="1" customWidth="1"/>
    <col min="8" max="8" width="14.28515625" bestFit="1" customWidth="1"/>
  </cols>
  <sheetData>
    <row r="1" spans="1:8" ht="60" customHeight="1" thickBot="1" x14ac:dyDescent="0.3">
      <c r="A1" s="73" t="s">
        <v>43</v>
      </c>
      <c r="B1" s="74"/>
      <c r="C1" s="74"/>
      <c r="D1" s="74"/>
      <c r="E1" s="74"/>
      <c r="F1" s="74"/>
      <c r="G1" s="75"/>
    </row>
    <row r="2" spans="1:8" ht="18.75" x14ac:dyDescent="0.25">
      <c r="A2" s="76" t="s">
        <v>0</v>
      </c>
      <c r="B2" s="78" t="s">
        <v>1</v>
      </c>
      <c r="C2" s="79"/>
      <c r="D2" s="78" t="s">
        <v>2</v>
      </c>
      <c r="E2" s="80"/>
      <c r="F2" s="81" t="s">
        <v>19</v>
      </c>
      <c r="G2" s="82"/>
    </row>
    <row r="3" spans="1:8" ht="30.75" customHeight="1" thickBot="1" x14ac:dyDescent="0.3">
      <c r="A3" s="77"/>
      <c r="B3" s="25" t="s">
        <v>3</v>
      </c>
      <c r="C3" s="26" t="s">
        <v>4</v>
      </c>
      <c r="D3" s="25" t="s">
        <v>3</v>
      </c>
      <c r="E3" s="27" t="s">
        <v>4</v>
      </c>
      <c r="F3" s="25" t="s">
        <v>3</v>
      </c>
      <c r="G3" s="28" t="s">
        <v>5</v>
      </c>
    </row>
    <row r="4" spans="1:8" ht="15.75" x14ac:dyDescent="0.25">
      <c r="A4" s="37">
        <v>46082</v>
      </c>
      <c r="B4" s="44">
        <f>Худудлар!B4</f>
        <v>109</v>
      </c>
      <c r="C4" s="45">
        <f>Худудлар!C4</f>
        <v>27715120</v>
      </c>
      <c r="D4" s="46">
        <f>B4-F4</f>
        <v>35</v>
      </c>
      <c r="E4" s="47">
        <f>C4-G4</f>
        <v>8000790</v>
      </c>
      <c r="F4" s="46">
        <v>74</v>
      </c>
      <c r="G4" s="47">
        <v>19714330</v>
      </c>
    </row>
    <row r="5" spans="1:8" ht="16.5" thickBot="1" x14ac:dyDescent="0.3">
      <c r="A5" s="3">
        <v>46083</v>
      </c>
      <c r="B5" s="36">
        <f>Худудлар!B5</f>
        <v>154</v>
      </c>
      <c r="C5" s="12">
        <f>Худудлар!C5</f>
        <v>45144140</v>
      </c>
      <c r="D5" s="5">
        <f t="shared" ref="D5:D31" si="0">B5-F5</f>
        <v>64</v>
      </c>
      <c r="E5" s="8">
        <f t="shared" ref="E5:E31" si="1">C5-G5</f>
        <v>18837650</v>
      </c>
      <c r="F5" s="4">
        <v>90</v>
      </c>
      <c r="G5" s="9">
        <v>26306490</v>
      </c>
      <c r="H5" s="14"/>
    </row>
    <row r="6" spans="1:8" ht="15.75" x14ac:dyDescent="0.25">
      <c r="A6" s="37">
        <v>46084</v>
      </c>
      <c r="B6" s="36">
        <f>Худудлар!B6</f>
        <v>290</v>
      </c>
      <c r="C6" s="12">
        <f>Худудлар!C6</f>
        <v>73515820</v>
      </c>
      <c r="D6" s="5">
        <f t="shared" si="0"/>
        <v>60</v>
      </c>
      <c r="E6" s="8">
        <f t="shared" si="1"/>
        <v>21508700</v>
      </c>
      <c r="F6" s="4">
        <v>230</v>
      </c>
      <c r="G6" s="9">
        <v>52007120</v>
      </c>
      <c r="H6" s="14"/>
    </row>
    <row r="7" spans="1:8" ht="16.5" thickBot="1" x14ac:dyDescent="0.3">
      <c r="A7" s="3">
        <v>46085</v>
      </c>
      <c r="B7" s="36">
        <f>Худудлар!B7</f>
        <v>274</v>
      </c>
      <c r="C7" s="12">
        <f>Худудлар!C7</f>
        <v>68520050</v>
      </c>
      <c r="D7" s="5">
        <f t="shared" si="0"/>
        <v>64</v>
      </c>
      <c r="E7" s="8">
        <f t="shared" si="1"/>
        <v>18757770</v>
      </c>
      <c r="F7" s="4">
        <v>210</v>
      </c>
      <c r="G7" s="24">
        <v>49762280</v>
      </c>
      <c r="H7" s="14"/>
    </row>
    <row r="8" spans="1:8" ht="15.75" x14ac:dyDescent="0.25">
      <c r="A8" s="37">
        <v>46086</v>
      </c>
      <c r="B8" s="36">
        <f>Худудлар!B8</f>
        <v>236</v>
      </c>
      <c r="C8" s="12">
        <f>Худудлар!C8</f>
        <v>67809300</v>
      </c>
      <c r="D8" s="5">
        <f t="shared" si="0"/>
        <v>61</v>
      </c>
      <c r="E8" s="8">
        <f t="shared" si="1"/>
        <v>20857360</v>
      </c>
      <c r="F8" s="4">
        <v>175</v>
      </c>
      <c r="G8" s="9">
        <v>46951940</v>
      </c>
      <c r="H8" s="14"/>
    </row>
    <row r="9" spans="1:8" ht="16.5" thickBot="1" x14ac:dyDescent="0.3">
      <c r="A9" s="3">
        <v>46087</v>
      </c>
      <c r="B9" s="36">
        <f>Худудлар!B9</f>
        <v>196</v>
      </c>
      <c r="C9" s="12">
        <f>Худудлар!C9</f>
        <v>49039450</v>
      </c>
      <c r="D9" s="5">
        <f t="shared" si="0"/>
        <v>59</v>
      </c>
      <c r="E9" s="8">
        <f t="shared" si="1"/>
        <v>14822080</v>
      </c>
      <c r="F9" s="4">
        <v>137</v>
      </c>
      <c r="G9" s="9">
        <v>34217370</v>
      </c>
      <c r="H9" s="14"/>
    </row>
    <row r="10" spans="1:8" ht="15.75" x14ac:dyDescent="0.25">
      <c r="A10" s="37">
        <v>46088</v>
      </c>
      <c r="B10" s="36">
        <f>Худудлар!B10</f>
        <v>107</v>
      </c>
      <c r="C10" s="12">
        <f>Худудлар!C10</f>
        <v>22987180</v>
      </c>
      <c r="D10" s="5">
        <f t="shared" si="0"/>
        <v>29</v>
      </c>
      <c r="E10" s="8">
        <f t="shared" si="1"/>
        <v>7291670</v>
      </c>
      <c r="F10" s="4">
        <v>78</v>
      </c>
      <c r="G10" s="9">
        <v>15695510</v>
      </c>
      <c r="H10" s="14"/>
    </row>
    <row r="11" spans="1:8" ht="16.5" thickBot="1" x14ac:dyDescent="0.3">
      <c r="A11" s="3">
        <v>46089</v>
      </c>
      <c r="B11" s="36">
        <f>Худудлар!B11</f>
        <v>230</v>
      </c>
      <c r="C11" s="12">
        <f>Худудлар!C11</f>
        <v>66191140</v>
      </c>
      <c r="D11" s="5">
        <f t="shared" si="0"/>
        <v>109</v>
      </c>
      <c r="E11" s="8">
        <f t="shared" si="1"/>
        <v>33792540</v>
      </c>
      <c r="F11" s="4">
        <v>121</v>
      </c>
      <c r="G11" s="9">
        <v>32398600</v>
      </c>
    </row>
    <row r="12" spans="1:8" ht="15.75" x14ac:dyDescent="0.25">
      <c r="A12" s="37">
        <v>46090</v>
      </c>
      <c r="B12" s="36">
        <f>Худудлар!B12</f>
        <v>232</v>
      </c>
      <c r="C12" s="12">
        <f>Худудлар!C12</f>
        <v>56311120</v>
      </c>
      <c r="D12" s="5">
        <f t="shared" si="0"/>
        <v>65</v>
      </c>
      <c r="E12" s="8">
        <f t="shared" si="1"/>
        <v>18154480</v>
      </c>
      <c r="F12" s="4">
        <v>167</v>
      </c>
      <c r="G12" s="9">
        <v>38156640</v>
      </c>
    </row>
    <row r="13" spans="1:8" ht="16.5" thickBot="1" x14ac:dyDescent="0.3">
      <c r="A13" s="3">
        <v>46091</v>
      </c>
      <c r="B13" s="36">
        <f>Худудлар!B13</f>
        <v>168</v>
      </c>
      <c r="C13" s="12">
        <f>Худудлар!C13</f>
        <v>45592370</v>
      </c>
      <c r="D13" s="5">
        <f t="shared" si="0"/>
        <v>60</v>
      </c>
      <c r="E13" s="8">
        <f t="shared" si="1"/>
        <v>16019340</v>
      </c>
      <c r="F13" s="4">
        <v>108</v>
      </c>
      <c r="G13" s="9">
        <v>29573030</v>
      </c>
    </row>
    <row r="14" spans="1:8" ht="15.75" x14ac:dyDescent="0.25">
      <c r="A14" s="37">
        <v>46092</v>
      </c>
      <c r="B14" s="36">
        <f>Худудлар!B14</f>
        <v>235</v>
      </c>
      <c r="C14" s="12">
        <f>Худудлар!C14</f>
        <v>59897180</v>
      </c>
      <c r="D14" s="5">
        <f t="shared" si="0"/>
        <v>60</v>
      </c>
      <c r="E14" s="8">
        <f t="shared" si="1"/>
        <v>14266770</v>
      </c>
      <c r="F14" s="4">
        <v>175</v>
      </c>
      <c r="G14" s="9">
        <v>45630410</v>
      </c>
    </row>
    <row r="15" spans="1:8" ht="16.5" thickBot="1" x14ac:dyDescent="0.3">
      <c r="A15" s="3">
        <v>46093</v>
      </c>
      <c r="B15" s="36">
        <f>Худудлар!B15</f>
        <v>231</v>
      </c>
      <c r="C15" s="12">
        <f>Худудлар!C15</f>
        <v>55123940</v>
      </c>
      <c r="D15" s="5">
        <f t="shared" si="0"/>
        <v>53</v>
      </c>
      <c r="E15" s="8">
        <f t="shared" si="1"/>
        <v>14178080</v>
      </c>
      <c r="F15" s="4">
        <v>178</v>
      </c>
      <c r="G15" s="9">
        <v>40945860</v>
      </c>
    </row>
    <row r="16" spans="1:8" ht="15.75" x14ac:dyDescent="0.25">
      <c r="A16" s="37">
        <v>46094</v>
      </c>
      <c r="B16" s="36">
        <f>Худудлар!B16</f>
        <v>133</v>
      </c>
      <c r="C16" s="12">
        <f>Худудлар!C16</f>
        <v>33974080</v>
      </c>
      <c r="D16" s="5">
        <f t="shared" si="0"/>
        <v>33</v>
      </c>
      <c r="E16" s="8">
        <f t="shared" si="1"/>
        <v>7412560</v>
      </c>
      <c r="F16" s="4">
        <v>100</v>
      </c>
      <c r="G16" s="9">
        <v>26561520</v>
      </c>
    </row>
    <row r="17" spans="1:7" ht="16.5" thickBot="1" x14ac:dyDescent="0.3">
      <c r="A17" s="3">
        <v>46095</v>
      </c>
      <c r="B17" s="36">
        <f>Худудлар!B17</f>
        <v>112</v>
      </c>
      <c r="C17" s="12">
        <f>Худудлар!C17</f>
        <v>27659970</v>
      </c>
      <c r="D17" s="5">
        <f t="shared" si="0"/>
        <v>46</v>
      </c>
      <c r="E17" s="8">
        <f t="shared" si="1"/>
        <v>10502380</v>
      </c>
      <c r="F17" s="4">
        <v>66</v>
      </c>
      <c r="G17" s="9">
        <v>17157590</v>
      </c>
    </row>
    <row r="18" spans="1:7" ht="15.75" x14ac:dyDescent="0.25">
      <c r="A18" s="37">
        <v>46096</v>
      </c>
      <c r="B18" s="36">
        <f>Худудлар!B18</f>
        <v>120</v>
      </c>
      <c r="C18" s="12">
        <f>Худудлар!C18</f>
        <v>29818110</v>
      </c>
      <c r="D18" s="5">
        <f t="shared" si="0"/>
        <v>34</v>
      </c>
      <c r="E18" s="8">
        <f t="shared" si="1"/>
        <v>9808250</v>
      </c>
      <c r="F18" s="4">
        <v>86</v>
      </c>
      <c r="G18" s="9">
        <v>20009860</v>
      </c>
    </row>
    <row r="19" spans="1:7" ht="16.5" thickBot="1" x14ac:dyDescent="0.3">
      <c r="A19" s="3">
        <v>46097</v>
      </c>
      <c r="B19" s="36">
        <f>Худудлар!B19</f>
        <v>241</v>
      </c>
      <c r="C19" s="12">
        <f>Худудлар!C19</f>
        <v>64486450</v>
      </c>
      <c r="D19" s="5">
        <f t="shared" si="0"/>
        <v>78</v>
      </c>
      <c r="E19" s="8">
        <f t="shared" si="1"/>
        <v>22464330</v>
      </c>
      <c r="F19" s="4">
        <v>163</v>
      </c>
      <c r="G19" s="9">
        <v>42022120</v>
      </c>
    </row>
    <row r="20" spans="1:7" ht="15.75" x14ac:dyDescent="0.25">
      <c r="A20" s="37">
        <v>46098</v>
      </c>
      <c r="B20" s="36">
        <f>Худудлар!B20</f>
        <v>233</v>
      </c>
      <c r="C20" s="12">
        <f>Худудлар!C20</f>
        <v>57801350</v>
      </c>
      <c r="D20" s="5">
        <f t="shared" si="0"/>
        <v>56</v>
      </c>
      <c r="E20" s="8">
        <f t="shared" si="1"/>
        <v>12662100</v>
      </c>
      <c r="F20" s="4">
        <v>177</v>
      </c>
      <c r="G20" s="9">
        <v>45139250</v>
      </c>
    </row>
    <row r="21" spans="1:7" ht="16.5" thickBot="1" x14ac:dyDescent="0.3">
      <c r="A21" s="3">
        <v>46099</v>
      </c>
      <c r="B21" s="36">
        <f>Худудлар!B21</f>
        <v>157</v>
      </c>
      <c r="C21" s="12">
        <f>Худудлар!C21</f>
        <v>45951270</v>
      </c>
      <c r="D21" s="5">
        <f t="shared" si="0"/>
        <v>23</v>
      </c>
      <c r="E21" s="8">
        <f t="shared" si="1"/>
        <v>9312180</v>
      </c>
      <c r="F21" s="23">
        <v>134</v>
      </c>
      <c r="G21" s="10">
        <v>36639090</v>
      </c>
    </row>
    <row r="22" spans="1:7" ht="15.75" x14ac:dyDescent="0.25">
      <c r="A22" s="37">
        <v>46100</v>
      </c>
      <c r="B22" s="36">
        <f>Худудлар!B22</f>
        <v>163</v>
      </c>
      <c r="C22" s="12">
        <f>Худудлар!C22</f>
        <v>45241490</v>
      </c>
      <c r="D22" s="5">
        <f t="shared" si="0"/>
        <v>33</v>
      </c>
      <c r="E22" s="8">
        <f t="shared" si="1"/>
        <v>9433760</v>
      </c>
      <c r="F22" s="23">
        <v>130</v>
      </c>
      <c r="G22" s="10">
        <v>35807730</v>
      </c>
    </row>
    <row r="23" spans="1:7" ht="16.5" thickBot="1" x14ac:dyDescent="0.3">
      <c r="A23" s="3">
        <v>46101</v>
      </c>
      <c r="B23" s="36">
        <f>Худудлар!B23</f>
        <v>161</v>
      </c>
      <c r="C23" s="12">
        <f>Худудлар!C23</f>
        <v>37972640</v>
      </c>
      <c r="D23" s="5">
        <f t="shared" si="0"/>
        <v>35</v>
      </c>
      <c r="E23" s="8">
        <f t="shared" si="1"/>
        <v>9044640</v>
      </c>
      <c r="F23" s="23">
        <v>126</v>
      </c>
      <c r="G23" s="10">
        <v>28928000</v>
      </c>
    </row>
    <row r="24" spans="1:7" ht="15.75" x14ac:dyDescent="0.25">
      <c r="A24" s="37">
        <v>46102</v>
      </c>
      <c r="B24" s="36">
        <f>Худудлар!B24</f>
        <v>125</v>
      </c>
      <c r="C24" s="12">
        <f>Худудлар!C24</f>
        <v>30981160</v>
      </c>
      <c r="D24" s="5">
        <f t="shared" si="0"/>
        <v>41</v>
      </c>
      <c r="E24" s="8">
        <f t="shared" si="1"/>
        <v>9023640</v>
      </c>
      <c r="F24" s="4">
        <v>84</v>
      </c>
      <c r="G24" s="9">
        <v>21957520</v>
      </c>
    </row>
    <row r="25" spans="1:7" ht="16.5" thickBot="1" x14ac:dyDescent="0.3">
      <c r="A25" s="3">
        <v>46103</v>
      </c>
      <c r="B25" s="36">
        <f>Худудлар!B25</f>
        <v>144</v>
      </c>
      <c r="C25" s="12">
        <f>Худудлар!C25</f>
        <v>37250500</v>
      </c>
      <c r="D25" s="5">
        <f t="shared" si="0"/>
        <v>36</v>
      </c>
      <c r="E25" s="8">
        <f t="shared" si="1"/>
        <v>7676470</v>
      </c>
      <c r="F25" s="4">
        <v>108</v>
      </c>
      <c r="G25" s="9">
        <v>29574030</v>
      </c>
    </row>
    <row r="26" spans="1:7" ht="15.75" x14ac:dyDescent="0.25">
      <c r="A26" s="37">
        <v>46104</v>
      </c>
      <c r="B26" s="36">
        <f>Худудлар!B26</f>
        <v>181</v>
      </c>
      <c r="C26" s="12">
        <f>Худудлар!C26</f>
        <v>43983920</v>
      </c>
      <c r="D26" s="5">
        <f t="shared" si="0"/>
        <v>79</v>
      </c>
      <c r="E26" s="8">
        <f t="shared" si="1"/>
        <v>17272000</v>
      </c>
      <c r="F26" s="4">
        <v>102</v>
      </c>
      <c r="G26" s="9">
        <v>26711920</v>
      </c>
    </row>
    <row r="27" spans="1:7" ht="16.5" thickBot="1" x14ac:dyDescent="0.3">
      <c r="A27" s="3">
        <v>46105</v>
      </c>
      <c r="B27" s="36">
        <f>Худудлар!B27</f>
        <v>268</v>
      </c>
      <c r="C27" s="12">
        <f>Худудлар!C27</f>
        <v>67856390</v>
      </c>
      <c r="D27" s="5">
        <f t="shared" si="0"/>
        <v>42</v>
      </c>
      <c r="E27" s="8">
        <f t="shared" si="1"/>
        <v>12421710</v>
      </c>
      <c r="F27" s="4">
        <v>226</v>
      </c>
      <c r="G27" s="9">
        <v>55434680</v>
      </c>
    </row>
    <row r="28" spans="1:7" ht="15.75" x14ac:dyDescent="0.25">
      <c r="A28" s="37">
        <v>46106</v>
      </c>
      <c r="B28" s="36">
        <f>Худудлар!B28</f>
        <v>148</v>
      </c>
      <c r="C28" s="12">
        <f>Худудлар!C28</f>
        <v>38190350</v>
      </c>
      <c r="D28" s="5">
        <f t="shared" si="0"/>
        <v>36</v>
      </c>
      <c r="E28" s="8">
        <f t="shared" si="1"/>
        <v>9413900</v>
      </c>
      <c r="F28" s="4">
        <v>112</v>
      </c>
      <c r="G28" s="9">
        <v>28776450</v>
      </c>
    </row>
    <row r="29" spans="1:7" ht="16.5" thickBot="1" x14ac:dyDescent="0.3">
      <c r="A29" s="3">
        <v>46107</v>
      </c>
      <c r="B29" s="36">
        <f>Худудлар!B29</f>
        <v>192</v>
      </c>
      <c r="C29" s="12">
        <f>Худудлар!C29</f>
        <v>49386260</v>
      </c>
      <c r="D29" s="5">
        <f t="shared" si="0"/>
        <v>44</v>
      </c>
      <c r="E29" s="8">
        <f t="shared" si="1"/>
        <v>10276240</v>
      </c>
      <c r="F29" s="23">
        <v>148</v>
      </c>
      <c r="G29" s="9">
        <v>39110020</v>
      </c>
    </row>
    <row r="30" spans="1:7" ht="15.75" x14ac:dyDescent="0.25">
      <c r="A30" s="37">
        <v>46108</v>
      </c>
      <c r="B30" s="36">
        <f>Худудлар!B30</f>
        <v>116</v>
      </c>
      <c r="C30" s="12">
        <f>Худудлар!C30</f>
        <v>30640650</v>
      </c>
      <c r="D30" s="5">
        <f t="shared" si="0"/>
        <v>24</v>
      </c>
      <c r="E30" s="8">
        <f t="shared" si="1"/>
        <v>6546760</v>
      </c>
      <c r="F30" s="4">
        <v>92</v>
      </c>
      <c r="G30" s="9">
        <v>24093890</v>
      </c>
    </row>
    <row r="31" spans="1:7" ht="16.5" thickBot="1" x14ac:dyDescent="0.3">
      <c r="A31" s="3">
        <v>46109</v>
      </c>
      <c r="B31" s="36">
        <f>Худудлар!B31</f>
        <v>89</v>
      </c>
      <c r="C31" s="12">
        <f>Худудлар!C31</f>
        <v>18427310</v>
      </c>
      <c r="D31" s="5">
        <f t="shared" si="0"/>
        <v>24</v>
      </c>
      <c r="E31" s="8">
        <f t="shared" si="1"/>
        <v>4864960</v>
      </c>
      <c r="F31" s="23">
        <v>65</v>
      </c>
      <c r="G31" s="9">
        <v>13562350</v>
      </c>
    </row>
    <row r="32" spans="1:7" ht="15.75" x14ac:dyDescent="0.25">
      <c r="A32" s="37">
        <v>46110</v>
      </c>
      <c r="B32" s="36">
        <f>Худудлар!B32</f>
        <v>97</v>
      </c>
      <c r="C32" s="12">
        <f>Худудлар!C32</f>
        <v>28623150</v>
      </c>
      <c r="D32" s="5">
        <f t="shared" ref="D32:D33" si="2">B32-F32</f>
        <v>97</v>
      </c>
      <c r="E32" s="8">
        <f t="shared" ref="E32:E33" si="3">C32-G32</f>
        <v>28623150</v>
      </c>
      <c r="F32" s="23"/>
      <c r="G32" s="9"/>
    </row>
    <row r="33" spans="1:8" ht="16.5" thickBot="1" x14ac:dyDescent="0.3">
      <c r="A33" s="3">
        <v>46111</v>
      </c>
      <c r="B33" s="36">
        <f>Худудлар!B33</f>
        <v>146</v>
      </c>
      <c r="C33" s="12">
        <f>Худудлар!C33</f>
        <v>40878500</v>
      </c>
      <c r="D33" s="5">
        <f t="shared" si="2"/>
        <v>146</v>
      </c>
      <c r="E33" s="8">
        <f t="shared" si="3"/>
        <v>40878500</v>
      </c>
      <c r="F33" s="4"/>
      <c r="G33" s="9"/>
    </row>
    <row r="34" spans="1:8" ht="19.5" thickBot="1" x14ac:dyDescent="0.3">
      <c r="A34" s="38" t="s">
        <v>1</v>
      </c>
      <c r="B34" s="39">
        <f t="shared" ref="B34:G34" si="4">SUM(B4:B31)</f>
        <v>5045</v>
      </c>
      <c r="C34" s="40">
        <f t="shared" si="4"/>
        <v>1297468710</v>
      </c>
      <c r="D34" s="41">
        <f t="shared" si="4"/>
        <v>1383</v>
      </c>
      <c r="E34" s="42">
        <f t="shared" si="4"/>
        <v>374623110</v>
      </c>
      <c r="F34" s="43">
        <f t="shared" si="4"/>
        <v>3662</v>
      </c>
      <c r="G34" s="42">
        <f t="shared" si="4"/>
        <v>922845600</v>
      </c>
      <c r="H34" s="14"/>
    </row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  <pageSetup paperSize="9" orientation="portrait" r:id="rId1"/>
  <ignoredErrors>
    <ignoredError sqref="G34" formulaRange="1"/>
    <ignoredError sqref="F34 D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5"/>
  <sheetViews>
    <sheetView tabSelected="1" zoomScale="70" zoomScaleNormal="70" workbookViewId="0">
      <selection activeCell="B1" sqref="A1:AG34"/>
    </sheetView>
  </sheetViews>
  <sheetFormatPr defaultColWidth="23.7109375" defaultRowHeight="18.75" x14ac:dyDescent="0.25"/>
  <cols>
    <col min="1" max="1" width="16.28515625" style="1" bestFit="1" customWidth="1"/>
    <col min="2" max="2" width="15.28515625" style="1" bestFit="1" customWidth="1"/>
    <col min="3" max="3" width="28.5703125" style="1" bestFit="1" customWidth="1"/>
    <col min="4" max="4" width="12.42578125" style="1" bestFit="1" customWidth="1"/>
    <col min="5" max="5" width="25.7109375" style="1" bestFit="1" customWidth="1"/>
    <col min="6" max="6" width="12.42578125" style="1" bestFit="1" customWidth="1"/>
    <col min="7" max="7" width="25.7109375" style="1" bestFit="1" customWidth="1"/>
    <col min="8" max="8" width="15.28515625" style="1" bestFit="1" customWidth="1"/>
    <col min="9" max="9" width="25.7109375" style="1" bestFit="1" customWidth="1"/>
    <col min="10" max="10" width="10.5703125" style="1" bestFit="1" customWidth="1"/>
    <col min="11" max="11" width="21.7109375" style="1" bestFit="1" customWidth="1"/>
    <col min="12" max="12" width="12.42578125" style="1" bestFit="1" customWidth="1"/>
    <col min="13" max="13" width="25.7109375" style="1" bestFit="1" customWidth="1"/>
    <col min="14" max="14" width="12.42578125" style="1" bestFit="1" customWidth="1"/>
    <col min="15" max="15" width="23.85546875" style="1" bestFit="1" customWidth="1"/>
    <col min="16" max="16" width="12.42578125" style="1" bestFit="1" customWidth="1"/>
    <col min="17" max="17" width="23.85546875" style="1" bestFit="1" customWidth="1"/>
    <col min="18" max="18" width="10.5703125" style="1" bestFit="1" customWidth="1"/>
    <col min="19" max="19" width="23.85546875" style="1" bestFit="1" customWidth="1"/>
    <col min="20" max="20" width="12.42578125" style="1" bestFit="1" customWidth="1"/>
    <col min="21" max="21" width="23.85546875" style="1" bestFit="1" customWidth="1"/>
    <col min="22" max="22" width="12.42578125" style="1" bestFit="1" customWidth="1"/>
    <col min="23" max="23" width="23.85546875" style="1" bestFit="1" customWidth="1"/>
    <col min="24" max="24" width="12.42578125" style="1" bestFit="1" customWidth="1"/>
    <col min="25" max="25" width="23.85546875" style="1" bestFit="1" customWidth="1"/>
    <col min="26" max="26" width="12.42578125" style="1" bestFit="1" customWidth="1"/>
    <col min="27" max="27" width="23.85546875" style="2" bestFit="1" customWidth="1"/>
    <col min="28" max="28" width="12.42578125" style="1" bestFit="1" customWidth="1"/>
    <col min="29" max="29" width="23.85546875" style="1" bestFit="1" customWidth="1"/>
    <col min="30" max="30" width="12.42578125" style="1" bestFit="1" customWidth="1"/>
    <col min="31" max="31" width="23.85546875" style="2" bestFit="1" customWidth="1"/>
    <col min="32" max="32" width="12.42578125" style="1" bestFit="1" customWidth="1"/>
    <col min="33" max="33" width="23.85546875" style="1" bestFit="1" customWidth="1"/>
    <col min="34" max="16384" width="23.7109375" style="1"/>
  </cols>
  <sheetData>
    <row r="1" spans="1:33" ht="81" customHeight="1" thickBot="1" x14ac:dyDescent="0.3">
      <c r="A1" s="92" t="s">
        <v>0</v>
      </c>
      <c r="B1" s="95" t="s">
        <v>1</v>
      </c>
      <c r="C1" s="96"/>
      <c r="D1" s="85" t="s">
        <v>43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7"/>
    </row>
    <row r="2" spans="1:33" ht="21" thickBot="1" x14ac:dyDescent="0.3">
      <c r="A2" s="93"/>
      <c r="B2" s="97"/>
      <c r="C2" s="98"/>
      <c r="D2" s="83" t="s">
        <v>20</v>
      </c>
      <c r="E2" s="84"/>
      <c r="F2" s="90" t="s">
        <v>21</v>
      </c>
      <c r="G2" s="91"/>
      <c r="H2" s="83" t="s">
        <v>6</v>
      </c>
      <c r="I2" s="84"/>
      <c r="J2" s="83" t="s">
        <v>7</v>
      </c>
      <c r="K2" s="84"/>
      <c r="L2" s="83" t="s">
        <v>8</v>
      </c>
      <c r="M2" s="84"/>
      <c r="N2" s="83" t="s">
        <v>9</v>
      </c>
      <c r="O2" s="84"/>
      <c r="P2" s="83" t="s">
        <v>10</v>
      </c>
      <c r="Q2" s="84"/>
      <c r="R2" s="83" t="s">
        <v>11</v>
      </c>
      <c r="S2" s="84"/>
      <c r="T2" s="83" t="s">
        <v>12</v>
      </c>
      <c r="U2" s="84"/>
      <c r="V2" s="83" t="s">
        <v>13</v>
      </c>
      <c r="W2" s="84"/>
      <c r="X2" s="88" t="s">
        <v>14</v>
      </c>
      <c r="Y2" s="89"/>
      <c r="Z2" s="83" t="s">
        <v>15</v>
      </c>
      <c r="AA2" s="84"/>
      <c r="AB2" s="83" t="s">
        <v>16</v>
      </c>
      <c r="AC2" s="84"/>
      <c r="AD2" s="83" t="s">
        <v>17</v>
      </c>
      <c r="AE2" s="84"/>
      <c r="AF2" s="83" t="s">
        <v>18</v>
      </c>
      <c r="AG2" s="84"/>
    </row>
    <row r="3" spans="1:33" ht="21" thickBot="1" x14ac:dyDescent="0.3">
      <c r="A3" s="94"/>
      <c r="B3" s="49" t="s">
        <v>3</v>
      </c>
      <c r="C3" s="53" t="s">
        <v>4</v>
      </c>
      <c r="D3" s="50" t="s">
        <v>3</v>
      </c>
      <c r="E3" s="67" t="s">
        <v>4</v>
      </c>
      <c r="F3" s="50" t="s">
        <v>3</v>
      </c>
      <c r="G3" s="63" t="s">
        <v>4</v>
      </c>
      <c r="H3" s="62" t="s">
        <v>3</v>
      </c>
      <c r="I3" s="63" t="s">
        <v>4</v>
      </c>
      <c r="J3" s="62" t="s">
        <v>3</v>
      </c>
      <c r="K3" s="63" t="s">
        <v>4</v>
      </c>
      <c r="L3" s="62" t="s">
        <v>3</v>
      </c>
      <c r="M3" s="63" t="s">
        <v>4</v>
      </c>
      <c r="N3" s="62" t="s">
        <v>3</v>
      </c>
      <c r="O3" s="63" t="s">
        <v>4</v>
      </c>
      <c r="P3" s="62" t="s">
        <v>3</v>
      </c>
      <c r="Q3" s="63" t="s">
        <v>4</v>
      </c>
      <c r="R3" s="62" t="s">
        <v>3</v>
      </c>
      <c r="S3" s="63" t="s">
        <v>4</v>
      </c>
      <c r="T3" s="62" t="s">
        <v>3</v>
      </c>
      <c r="U3" s="63" t="s">
        <v>4</v>
      </c>
      <c r="V3" s="62" t="s">
        <v>3</v>
      </c>
      <c r="W3" s="63" t="s">
        <v>4</v>
      </c>
      <c r="X3" s="64" t="s">
        <v>3</v>
      </c>
      <c r="Y3" s="65" t="s">
        <v>4</v>
      </c>
      <c r="Z3" s="68" t="s">
        <v>3</v>
      </c>
      <c r="AA3" s="69" t="s">
        <v>4</v>
      </c>
      <c r="AB3" s="68" t="s">
        <v>3</v>
      </c>
      <c r="AC3" s="69" t="s">
        <v>4</v>
      </c>
      <c r="AD3" s="68" t="s">
        <v>3</v>
      </c>
      <c r="AE3" s="69" t="s">
        <v>4</v>
      </c>
      <c r="AF3" s="68" t="s">
        <v>3</v>
      </c>
      <c r="AG3" s="69" t="s">
        <v>4</v>
      </c>
    </row>
    <row r="4" spans="1:33" ht="21" thickBot="1" x14ac:dyDescent="0.3">
      <c r="A4" s="51">
        <v>46174</v>
      </c>
      <c r="B4" s="54">
        <f>D4+F4+H4+J4+L4+N4+P4+R4+T4+V4+X4+Z4+AB4+AD4+AF4</f>
        <v>109</v>
      </c>
      <c r="C4" s="55">
        <f>E4+G4+I4+K4+M4+O4+Q4+S4+U4+W4+Y4+AA4+AC4+AE4+AG4</f>
        <v>27715120</v>
      </c>
      <c r="D4" s="6">
        <v>21</v>
      </c>
      <c r="E4" s="7">
        <v>5574110</v>
      </c>
      <c r="F4" s="56">
        <v>20</v>
      </c>
      <c r="G4" s="57">
        <v>4417440</v>
      </c>
      <c r="H4" s="6">
        <v>23</v>
      </c>
      <c r="I4" s="7">
        <v>5174560</v>
      </c>
      <c r="J4" s="6">
        <v>0</v>
      </c>
      <c r="K4" s="7">
        <v>0</v>
      </c>
      <c r="L4" s="6">
        <v>7</v>
      </c>
      <c r="M4" s="7">
        <v>1765880</v>
      </c>
      <c r="N4" s="6">
        <v>1</v>
      </c>
      <c r="O4" s="7">
        <v>177990</v>
      </c>
      <c r="P4" s="6">
        <v>4</v>
      </c>
      <c r="Q4" s="7">
        <v>1582900</v>
      </c>
      <c r="R4" s="6">
        <v>5</v>
      </c>
      <c r="S4" s="7">
        <v>2682000</v>
      </c>
      <c r="T4" s="6">
        <v>16</v>
      </c>
      <c r="U4" s="7">
        <v>3870550</v>
      </c>
      <c r="V4" s="6">
        <v>4</v>
      </c>
      <c r="W4" s="7">
        <v>777340</v>
      </c>
      <c r="X4" s="6">
        <v>2</v>
      </c>
      <c r="Y4" s="7">
        <v>392050</v>
      </c>
      <c r="Z4" s="6">
        <v>0</v>
      </c>
      <c r="AA4" s="7">
        <v>0</v>
      </c>
      <c r="AB4" s="6">
        <v>5</v>
      </c>
      <c r="AC4" s="7">
        <v>1097380</v>
      </c>
      <c r="AD4" s="6">
        <v>1</v>
      </c>
      <c r="AE4" s="7">
        <v>202920</v>
      </c>
      <c r="AF4" s="6">
        <v>0</v>
      </c>
      <c r="AG4" s="7">
        <v>0</v>
      </c>
    </row>
    <row r="5" spans="1:33" ht="21" thickBot="1" x14ac:dyDescent="0.3">
      <c r="A5" s="51">
        <v>46175</v>
      </c>
      <c r="B5" s="54">
        <f>D5+F5+H5+J5+L5+N5+P5+R5+T5+V5+X5+Z5+AB5+AD5+AF5</f>
        <v>154</v>
      </c>
      <c r="C5" s="55">
        <f t="shared" ref="C5:C33" si="0">E5+G5+I5+K5+M5+O5+Q5+S5+U5+W5+Y5+AA5+AC5+AE5+AG5</f>
        <v>45144140</v>
      </c>
      <c r="D5" s="6">
        <v>13</v>
      </c>
      <c r="E5" s="7">
        <v>3120780</v>
      </c>
      <c r="F5" s="6">
        <v>14</v>
      </c>
      <c r="G5" s="7">
        <v>4419210</v>
      </c>
      <c r="H5" s="6">
        <v>7</v>
      </c>
      <c r="I5" s="7">
        <v>1194950</v>
      </c>
      <c r="J5" s="6">
        <v>0</v>
      </c>
      <c r="K5" s="7">
        <v>0</v>
      </c>
      <c r="L5" s="6">
        <v>34</v>
      </c>
      <c r="M5" s="7">
        <v>8705740</v>
      </c>
      <c r="N5" s="6">
        <v>10</v>
      </c>
      <c r="O5" s="7">
        <v>3871430</v>
      </c>
      <c r="P5" s="6">
        <v>30</v>
      </c>
      <c r="Q5" s="7">
        <v>7366530</v>
      </c>
      <c r="R5" s="6">
        <v>5</v>
      </c>
      <c r="S5" s="7">
        <v>2712240</v>
      </c>
      <c r="T5" s="6">
        <v>15</v>
      </c>
      <c r="U5" s="7">
        <v>3912530</v>
      </c>
      <c r="V5" s="6">
        <v>1</v>
      </c>
      <c r="W5" s="7">
        <v>166320</v>
      </c>
      <c r="X5" s="6">
        <v>9</v>
      </c>
      <c r="Y5" s="7">
        <v>6445360</v>
      </c>
      <c r="Z5" s="6">
        <v>0</v>
      </c>
      <c r="AA5" s="7">
        <v>0</v>
      </c>
      <c r="AB5" s="6">
        <v>15</v>
      </c>
      <c r="AC5" s="7">
        <v>2956110</v>
      </c>
      <c r="AD5" s="6">
        <v>0</v>
      </c>
      <c r="AE5" s="7">
        <v>0</v>
      </c>
      <c r="AF5" s="6">
        <v>1</v>
      </c>
      <c r="AG5" s="7">
        <v>272940</v>
      </c>
    </row>
    <row r="6" spans="1:33" ht="21" thickBot="1" x14ac:dyDescent="0.3">
      <c r="A6" s="51">
        <v>46176</v>
      </c>
      <c r="B6" s="54">
        <f t="shared" ref="B6:B33" si="1">D6+F6+H6+J6+L6+N6+P6+R6+T6+V6+X6+Z6+AB6+AD6+AF6</f>
        <v>290</v>
      </c>
      <c r="C6" s="55">
        <f t="shared" si="0"/>
        <v>73515820</v>
      </c>
      <c r="D6" s="6">
        <v>14</v>
      </c>
      <c r="E6" s="7">
        <v>4497870</v>
      </c>
      <c r="F6" s="6">
        <v>11</v>
      </c>
      <c r="G6" s="7">
        <v>2523240</v>
      </c>
      <c r="H6" s="6">
        <v>50</v>
      </c>
      <c r="I6" s="7">
        <v>10339320</v>
      </c>
      <c r="J6" s="6">
        <v>0</v>
      </c>
      <c r="K6" s="7">
        <v>0</v>
      </c>
      <c r="L6" s="6">
        <v>13</v>
      </c>
      <c r="M6" s="7">
        <v>4007810</v>
      </c>
      <c r="N6" s="6">
        <v>19</v>
      </c>
      <c r="O6" s="66">
        <v>10265270</v>
      </c>
      <c r="P6" s="6">
        <v>34</v>
      </c>
      <c r="Q6" s="7">
        <v>8131820</v>
      </c>
      <c r="R6" s="6">
        <v>10</v>
      </c>
      <c r="S6" s="7">
        <v>1882020</v>
      </c>
      <c r="T6" s="6">
        <v>7</v>
      </c>
      <c r="U6" s="7">
        <v>1738980</v>
      </c>
      <c r="V6" s="6">
        <v>10</v>
      </c>
      <c r="W6" s="7">
        <v>3301840</v>
      </c>
      <c r="X6" s="6">
        <v>9</v>
      </c>
      <c r="Y6" s="7">
        <v>2742050</v>
      </c>
      <c r="Z6" s="6">
        <v>62</v>
      </c>
      <c r="AA6" s="7">
        <v>12747820</v>
      </c>
      <c r="AB6" s="6">
        <v>20</v>
      </c>
      <c r="AC6" s="7">
        <v>3834360</v>
      </c>
      <c r="AD6" s="6">
        <v>17</v>
      </c>
      <c r="AE6" s="7">
        <v>4464770</v>
      </c>
      <c r="AF6" s="6">
        <v>14</v>
      </c>
      <c r="AG6" s="7">
        <v>3038650</v>
      </c>
    </row>
    <row r="7" spans="1:33" ht="21" thickBot="1" x14ac:dyDescent="0.3">
      <c r="A7" s="51">
        <v>46177</v>
      </c>
      <c r="B7" s="54">
        <f t="shared" si="1"/>
        <v>274</v>
      </c>
      <c r="C7" s="55">
        <f>E7+G7+I7+K7+M7+O7+Q7+S7+U7+W7+Y7+AA7+AC7+AE7+AG7</f>
        <v>68520050</v>
      </c>
      <c r="D7" s="6">
        <v>12</v>
      </c>
      <c r="E7" s="7">
        <v>2366280</v>
      </c>
      <c r="F7" s="6">
        <v>32</v>
      </c>
      <c r="G7" s="7">
        <v>6956180</v>
      </c>
      <c r="H7" s="6">
        <v>70</v>
      </c>
      <c r="I7" s="7">
        <v>16347960</v>
      </c>
      <c r="J7" s="6">
        <v>0</v>
      </c>
      <c r="K7" s="7">
        <v>0</v>
      </c>
      <c r="L7" s="6">
        <v>26</v>
      </c>
      <c r="M7" s="7">
        <v>6078700</v>
      </c>
      <c r="N7" s="6">
        <v>15</v>
      </c>
      <c r="O7" s="66">
        <v>4620750</v>
      </c>
      <c r="P7" s="6">
        <v>1</v>
      </c>
      <c r="Q7" s="7">
        <v>245140</v>
      </c>
      <c r="R7" s="6">
        <v>0</v>
      </c>
      <c r="S7" s="7">
        <v>0</v>
      </c>
      <c r="T7" s="6">
        <v>5</v>
      </c>
      <c r="U7" s="7">
        <v>1182010</v>
      </c>
      <c r="V7" s="6">
        <v>3</v>
      </c>
      <c r="W7" s="7">
        <v>737610</v>
      </c>
      <c r="X7" s="6">
        <v>7</v>
      </c>
      <c r="Y7" s="7">
        <v>5529820</v>
      </c>
      <c r="Z7" s="6">
        <v>31</v>
      </c>
      <c r="AA7" s="7">
        <v>8061650</v>
      </c>
      <c r="AB7" s="6">
        <v>20</v>
      </c>
      <c r="AC7" s="7">
        <v>4413500</v>
      </c>
      <c r="AD7" s="6">
        <v>42</v>
      </c>
      <c r="AE7" s="7">
        <v>9940420</v>
      </c>
      <c r="AF7" s="6">
        <v>10</v>
      </c>
      <c r="AG7" s="7">
        <v>2040030</v>
      </c>
    </row>
    <row r="8" spans="1:33" ht="21" thickBot="1" x14ac:dyDescent="0.3">
      <c r="A8" s="51">
        <v>46178</v>
      </c>
      <c r="B8" s="54">
        <f t="shared" si="1"/>
        <v>236</v>
      </c>
      <c r="C8" s="55">
        <f t="shared" si="0"/>
        <v>67809300</v>
      </c>
      <c r="D8" s="6">
        <v>2</v>
      </c>
      <c r="E8" s="7">
        <v>601120</v>
      </c>
      <c r="F8" s="6">
        <v>41</v>
      </c>
      <c r="G8" s="7">
        <v>10556850</v>
      </c>
      <c r="H8" s="6">
        <v>66</v>
      </c>
      <c r="I8" s="7">
        <v>18770960</v>
      </c>
      <c r="J8" s="6">
        <v>3</v>
      </c>
      <c r="K8" s="7">
        <v>605210</v>
      </c>
      <c r="L8" s="6">
        <v>18</v>
      </c>
      <c r="M8" s="7">
        <v>5747950</v>
      </c>
      <c r="N8" s="6">
        <v>21</v>
      </c>
      <c r="O8" s="7">
        <v>10005150</v>
      </c>
      <c r="P8" s="6">
        <v>0</v>
      </c>
      <c r="Q8" s="7">
        <v>0</v>
      </c>
      <c r="R8" s="6">
        <v>3</v>
      </c>
      <c r="S8" s="7">
        <v>471300</v>
      </c>
      <c r="T8" s="6">
        <v>10</v>
      </c>
      <c r="U8" s="7">
        <v>2520340</v>
      </c>
      <c r="V8" s="6">
        <v>10</v>
      </c>
      <c r="W8" s="7">
        <v>2098590</v>
      </c>
      <c r="X8" s="6">
        <v>13</v>
      </c>
      <c r="Y8" s="7">
        <v>4804250</v>
      </c>
      <c r="Z8" s="6">
        <v>22</v>
      </c>
      <c r="AA8" s="7">
        <v>5018000</v>
      </c>
      <c r="AB8" s="6">
        <v>20</v>
      </c>
      <c r="AC8" s="7">
        <v>5188140</v>
      </c>
      <c r="AD8" s="6">
        <v>6</v>
      </c>
      <c r="AE8" s="7">
        <v>1285340</v>
      </c>
      <c r="AF8" s="6">
        <v>1</v>
      </c>
      <c r="AG8" s="7">
        <v>136100</v>
      </c>
    </row>
    <row r="9" spans="1:33" ht="21" thickBot="1" x14ac:dyDescent="0.3">
      <c r="A9" s="51">
        <v>46179</v>
      </c>
      <c r="B9" s="54">
        <f t="shared" si="1"/>
        <v>196</v>
      </c>
      <c r="C9" s="55">
        <f t="shared" si="0"/>
        <v>49039450</v>
      </c>
      <c r="D9" s="6">
        <v>4</v>
      </c>
      <c r="E9" s="7">
        <v>752570</v>
      </c>
      <c r="F9" s="6">
        <v>15</v>
      </c>
      <c r="G9" s="7">
        <v>3514050</v>
      </c>
      <c r="H9" s="6">
        <v>40</v>
      </c>
      <c r="I9" s="7">
        <v>8684610</v>
      </c>
      <c r="J9" s="6">
        <v>1</v>
      </c>
      <c r="K9" s="7">
        <v>246550</v>
      </c>
      <c r="L9" s="6">
        <v>13</v>
      </c>
      <c r="M9" s="7">
        <v>4500720</v>
      </c>
      <c r="N9" s="6">
        <v>24</v>
      </c>
      <c r="O9" s="7">
        <v>6327610</v>
      </c>
      <c r="P9" s="6">
        <v>14</v>
      </c>
      <c r="Q9" s="7">
        <v>4831700</v>
      </c>
      <c r="R9" s="6">
        <v>7</v>
      </c>
      <c r="S9" s="7">
        <v>1717540</v>
      </c>
      <c r="T9" s="6">
        <v>8</v>
      </c>
      <c r="U9" s="7">
        <v>1815030</v>
      </c>
      <c r="V9" s="6">
        <v>26</v>
      </c>
      <c r="W9" s="7">
        <v>6456980</v>
      </c>
      <c r="X9" s="6">
        <v>4</v>
      </c>
      <c r="Y9" s="7">
        <v>2041930</v>
      </c>
      <c r="Z9" s="6">
        <v>14</v>
      </c>
      <c r="AA9" s="7">
        <v>2573220</v>
      </c>
      <c r="AB9" s="6">
        <v>8</v>
      </c>
      <c r="AC9" s="7">
        <v>1740590</v>
      </c>
      <c r="AD9" s="6">
        <v>11</v>
      </c>
      <c r="AE9" s="7">
        <v>2317930</v>
      </c>
      <c r="AF9" s="6">
        <v>7</v>
      </c>
      <c r="AG9" s="7">
        <v>1518420</v>
      </c>
    </row>
    <row r="10" spans="1:33" ht="21" thickBot="1" x14ac:dyDescent="0.3">
      <c r="A10" s="51">
        <v>46180</v>
      </c>
      <c r="B10" s="54">
        <f t="shared" si="1"/>
        <v>107</v>
      </c>
      <c r="C10" s="55">
        <f t="shared" si="0"/>
        <v>22987180</v>
      </c>
      <c r="D10" s="6">
        <v>0</v>
      </c>
      <c r="E10" s="7">
        <v>0</v>
      </c>
      <c r="F10" s="6">
        <v>9</v>
      </c>
      <c r="G10" s="7">
        <v>1776320</v>
      </c>
      <c r="H10" s="6">
        <v>22</v>
      </c>
      <c r="I10" s="7">
        <v>4291370</v>
      </c>
      <c r="J10" s="6">
        <v>0</v>
      </c>
      <c r="K10" s="7">
        <v>0</v>
      </c>
      <c r="L10" s="6">
        <v>26</v>
      </c>
      <c r="M10" s="7">
        <v>5746950</v>
      </c>
      <c r="N10" s="6">
        <v>0</v>
      </c>
      <c r="O10" s="66">
        <v>0</v>
      </c>
      <c r="P10" s="6">
        <v>1</v>
      </c>
      <c r="Q10" s="7">
        <v>265500</v>
      </c>
      <c r="R10" s="6">
        <v>3</v>
      </c>
      <c r="S10" s="7">
        <v>576930</v>
      </c>
      <c r="T10" s="6">
        <v>10</v>
      </c>
      <c r="U10" s="7">
        <v>2346250</v>
      </c>
      <c r="V10" s="6">
        <v>1</v>
      </c>
      <c r="W10" s="7">
        <v>245140</v>
      </c>
      <c r="X10" s="6">
        <v>0</v>
      </c>
      <c r="Y10" s="7">
        <v>0</v>
      </c>
      <c r="Z10" s="6">
        <v>21</v>
      </c>
      <c r="AA10" s="7">
        <v>4926010</v>
      </c>
      <c r="AB10" s="6">
        <v>7</v>
      </c>
      <c r="AC10" s="7">
        <v>1283220</v>
      </c>
      <c r="AD10" s="6">
        <v>6</v>
      </c>
      <c r="AE10" s="7">
        <v>1312790</v>
      </c>
      <c r="AF10" s="6">
        <v>1</v>
      </c>
      <c r="AG10" s="7">
        <v>216700</v>
      </c>
    </row>
    <row r="11" spans="1:33" ht="21" thickBot="1" x14ac:dyDescent="0.3">
      <c r="A11" s="51">
        <v>46181</v>
      </c>
      <c r="B11" s="54">
        <f t="shared" si="1"/>
        <v>230</v>
      </c>
      <c r="C11" s="55">
        <f t="shared" si="0"/>
        <v>66191140</v>
      </c>
      <c r="D11" s="6">
        <v>15</v>
      </c>
      <c r="E11" s="7">
        <v>3980310</v>
      </c>
      <c r="F11" s="6">
        <v>5</v>
      </c>
      <c r="G11" s="7">
        <v>1620940</v>
      </c>
      <c r="H11" s="6">
        <v>41</v>
      </c>
      <c r="I11" s="7">
        <v>10900420</v>
      </c>
      <c r="J11" s="6">
        <v>4</v>
      </c>
      <c r="K11" s="7">
        <v>1266550</v>
      </c>
      <c r="L11" s="6">
        <v>62</v>
      </c>
      <c r="M11" s="7">
        <v>18344020</v>
      </c>
      <c r="N11" s="6">
        <v>14</v>
      </c>
      <c r="O11" s="7">
        <v>7432540</v>
      </c>
      <c r="P11" s="6">
        <v>3</v>
      </c>
      <c r="Q11" s="7">
        <v>1932930</v>
      </c>
      <c r="R11" s="6">
        <v>2</v>
      </c>
      <c r="S11" s="7">
        <v>490280</v>
      </c>
      <c r="T11" s="6">
        <v>23</v>
      </c>
      <c r="U11" s="7">
        <v>5240270</v>
      </c>
      <c r="V11" s="6">
        <v>1</v>
      </c>
      <c r="W11" s="7">
        <v>216700</v>
      </c>
      <c r="X11" s="6">
        <v>17</v>
      </c>
      <c r="Y11" s="7">
        <v>5842320</v>
      </c>
      <c r="Z11" s="6">
        <v>17</v>
      </c>
      <c r="AA11" s="7">
        <v>3418240</v>
      </c>
      <c r="AB11" s="6">
        <v>3</v>
      </c>
      <c r="AC11" s="7">
        <v>554880</v>
      </c>
      <c r="AD11" s="6">
        <v>13</v>
      </c>
      <c r="AE11" s="7">
        <v>3104380</v>
      </c>
      <c r="AF11" s="6">
        <v>10</v>
      </c>
      <c r="AG11" s="7">
        <v>1846360</v>
      </c>
    </row>
    <row r="12" spans="1:33" ht="21" thickBot="1" x14ac:dyDescent="0.3">
      <c r="A12" s="51">
        <v>46182</v>
      </c>
      <c r="B12" s="54">
        <f t="shared" si="1"/>
        <v>232</v>
      </c>
      <c r="C12" s="55">
        <f t="shared" si="0"/>
        <v>56311120</v>
      </c>
      <c r="D12" s="6">
        <v>7</v>
      </c>
      <c r="E12" s="7">
        <v>1695700</v>
      </c>
      <c r="F12" s="6">
        <v>25</v>
      </c>
      <c r="G12" s="7">
        <v>5866300</v>
      </c>
      <c r="H12" s="6">
        <v>56</v>
      </c>
      <c r="I12" s="7">
        <v>12463660</v>
      </c>
      <c r="J12" s="6">
        <v>2</v>
      </c>
      <c r="K12" s="7">
        <v>493100</v>
      </c>
      <c r="L12" s="6">
        <v>45</v>
      </c>
      <c r="M12" s="7">
        <v>12039970</v>
      </c>
      <c r="N12" s="6">
        <v>9</v>
      </c>
      <c r="O12" s="7">
        <v>3220290</v>
      </c>
      <c r="P12" s="6">
        <v>3</v>
      </c>
      <c r="Q12" s="7">
        <v>3011240</v>
      </c>
      <c r="R12" s="6">
        <v>0</v>
      </c>
      <c r="S12" s="7">
        <v>0</v>
      </c>
      <c r="T12" s="6">
        <v>30</v>
      </c>
      <c r="U12" s="7">
        <v>7330190</v>
      </c>
      <c r="V12" s="6">
        <v>0</v>
      </c>
      <c r="W12" s="7">
        <v>0</v>
      </c>
      <c r="X12" s="6">
        <v>3</v>
      </c>
      <c r="Y12" s="7">
        <v>643230</v>
      </c>
      <c r="Z12" s="6">
        <v>15</v>
      </c>
      <c r="AA12" s="7">
        <v>2487080</v>
      </c>
      <c r="AB12" s="6">
        <v>17</v>
      </c>
      <c r="AC12" s="7">
        <v>2865880</v>
      </c>
      <c r="AD12" s="6">
        <v>12</v>
      </c>
      <c r="AE12" s="7">
        <v>2490580</v>
      </c>
      <c r="AF12" s="6">
        <v>8</v>
      </c>
      <c r="AG12" s="7">
        <v>1703900</v>
      </c>
    </row>
    <row r="13" spans="1:33" ht="21" thickBot="1" x14ac:dyDescent="0.3">
      <c r="A13" s="51">
        <v>46183</v>
      </c>
      <c r="B13" s="54">
        <f>D13+F13+H13+J13+L13+N13+P13+R13+T13+V13+X13+Z13+AB13+AD13+AF13</f>
        <v>168</v>
      </c>
      <c r="C13" s="55">
        <f>E13+G13+I13+K13+M13+O13+Q13+S13+U13+W13+Y13+AA13+AC13+AE13+AG13</f>
        <v>45592370</v>
      </c>
      <c r="D13" s="6">
        <v>11</v>
      </c>
      <c r="E13" s="7">
        <v>3440940</v>
      </c>
      <c r="F13" s="6">
        <v>15</v>
      </c>
      <c r="G13" s="7">
        <v>4573210</v>
      </c>
      <c r="H13" s="6">
        <v>27</v>
      </c>
      <c r="I13" s="7">
        <v>6214780</v>
      </c>
      <c r="J13" s="6">
        <v>0</v>
      </c>
      <c r="K13" s="7">
        <v>0</v>
      </c>
      <c r="L13" s="6">
        <v>47</v>
      </c>
      <c r="M13" s="7">
        <v>14926430</v>
      </c>
      <c r="N13" s="6">
        <v>15</v>
      </c>
      <c r="O13" s="66">
        <v>4300550</v>
      </c>
      <c r="P13" s="6">
        <v>0</v>
      </c>
      <c r="Q13" s="7">
        <v>0</v>
      </c>
      <c r="R13" s="6">
        <v>1</v>
      </c>
      <c r="S13" s="7">
        <v>245140</v>
      </c>
      <c r="T13" s="6">
        <v>16</v>
      </c>
      <c r="U13" s="7">
        <v>3500220</v>
      </c>
      <c r="V13" s="6">
        <v>0</v>
      </c>
      <c r="W13" s="7">
        <v>0</v>
      </c>
      <c r="X13" s="6">
        <v>3</v>
      </c>
      <c r="Y13" s="7">
        <v>972650</v>
      </c>
      <c r="Z13" s="6">
        <v>2</v>
      </c>
      <c r="AA13" s="7">
        <v>559210</v>
      </c>
      <c r="AB13" s="6">
        <v>21</v>
      </c>
      <c r="AC13" s="7">
        <v>4793150</v>
      </c>
      <c r="AD13" s="6">
        <v>0</v>
      </c>
      <c r="AE13" s="7">
        <v>0</v>
      </c>
      <c r="AF13" s="6">
        <v>10</v>
      </c>
      <c r="AG13" s="7">
        <v>2066090</v>
      </c>
    </row>
    <row r="14" spans="1:33" ht="21" thickBot="1" x14ac:dyDescent="0.3">
      <c r="A14" s="51">
        <v>46184</v>
      </c>
      <c r="B14" s="54">
        <f>D14+F14+H14+J14+L14+N14+P14+R14+T14+V14+X14+Z14+AB14+AD14+AF14</f>
        <v>235</v>
      </c>
      <c r="C14" s="55">
        <f>E14+G14+I14+K14+M14+O14+Q14+S14+U14+W14+Y14+AA14+AC14+AE14+AG14</f>
        <v>59897180</v>
      </c>
      <c r="D14" s="6">
        <v>5</v>
      </c>
      <c r="E14" s="7">
        <v>2292140</v>
      </c>
      <c r="F14" s="6">
        <v>52</v>
      </c>
      <c r="G14" s="7">
        <v>16584530</v>
      </c>
      <c r="H14" s="6">
        <v>63</v>
      </c>
      <c r="I14" s="7">
        <v>14842030</v>
      </c>
      <c r="J14" s="6">
        <v>0</v>
      </c>
      <c r="K14" s="7">
        <v>0</v>
      </c>
      <c r="L14" s="6">
        <v>46</v>
      </c>
      <c r="M14" s="2">
        <v>12899560</v>
      </c>
      <c r="N14" s="6">
        <v>8</v>
      </c>
      <c r="O14" s="66">
        <v>1576990</v>
      </c>
      <c r="P14" s="6">
        <v>3</v>
      </c>
      <c r="Q14" s="7">
        <v>686820</v>
      </c>
      <c r="R14" s="6">
        <v>2</v>
      </c>
      <c r="S14" s="7">
        <v>519640</v>
      </c>
      <c r="T14" s="6">
        <v>10</v>
      </c>
      <c r="U14" s="7">
        <v>1830290</v>
      </c>
      <c r="V14" s="6">
        <v>5</v>
      </c>
      <c r="W14" s="7">
        <v>1031060</v>
      </c>
      <c r="X14" s="6">
        <v>0</v>
      </c>
      <c r="Y14" s="7">
        <v>0</v>
      </c>
      <c r="Z14" s="6">
        <v>12</v>
      </c>
      <c r="AA14" s="7">
        <v>2183280</v>
      </c>
      <c r="AB14" s="6">
        <v>21</v>
      </c>
      <c r="AC14" s="7">
        <v>3880970</v>
      </c>
      <c r="AD14" s="6">
        <v>0</v>
      </c>
      <c r="AE14" s="7">
        <v>0</v>
      </c>
      <c r="AF14" s="6">
        <v>8</v>
      </c>
      <c r="AG14" s="7">
        <v>1569870</v>
      </c>
    </row>
    <row r="15" spans="1:33" ht="21" thickBot="1" x14ac:dyDescent="0.3">
      <c r="A15" s="51">
        <v>46185</v>
      </c>
      <c r="B15" s="54">
        <f t="shared" si="1"/>
        <v>231</v>
      </c>
      <c r="C15" s="55">
        <f t="shared" si="0"/>
        <v>55123940</v>
      </c>
      <c r="D15" s="6">
        <v>9</v>
      </c>
      <c r="E15" s="7">
        <v>3372580</v>
      </c>
      <c r="F15" s="6">
        <v>16</v>
      </c>
      <c r="G15" s="7">
        <v>5787090</v>
      </c>
      <c r="H15" s="6">
        <v>74</v>
      </c>
      <c r="I15" s="7">
        <v>15989110</v>
      </c>
      <c r="J15" s="6">
        <v>0</v>
      </c>
      <c r="K15" s="7">
        <v>0</v>
      </c>
      <c r="L15" s="6">
        <v>47</v>
      </c>
      <c r="M15" s="7">
        <v>10909600</v>
      </c>
      <c r="N15" s="6">
        <v>5</v>
      </c>
      <c r="O15" s="7">
        <v>1435590</v>
      </c>
      <c r="P15" s="6">
        <v>3</v>
      </c>
      <c r="Q15" s="7">
        <v>1639000</v>
      </c>
      <c r="R15" s="6">
        <v>2</v>
      </c>
      <c r="S15" s="7">
        <v>593690</v>
      </c>
      <c r="T15" s="6">
        <v>8</v>
      </c>
      <c r="U15" s="7">
        <v>2172980</v>
      </c>
      <c r="V15" s="6">
        <v>10</v>
      </c>
      <c r="W15" s="7">
        <v>1807870</v>
      </c>
      <c r="X15" s="6">
        <v>2</v>
      </c>
      <c r="Y15" s="7">
        <v>512980</v>
      </c>
      <c r="Z15" s="6">
        <v>37</v>
      </c>
      <c r="AA15" s="7">
        <v>7591860</v>
      </c>
      <c r="AB15" s="6">
        <v>18</v>
      </c>
      <c r="AC15" s="7">
        <v>3311590</v>
      </c>
      <c r="AD15" s="6">
        <v>0</v>
      </c>
      <c r="AE15" s="7">
        <v>0</v>
      </c>
      <c r="AF15" s="6">
        <v>0</v>
      </c>
      <c r="AG15" s="7">
        <v>0</v>
      </c>
    </row>
    <row r="16" spans="1:33" ht="21" thickBot="1" x14ac:dyDescent="0.3">
      <c r="A16" s="51">
        <v>46186</v>
      </c>
      <c r="B16" s="54">
        <f t="shared" si="1"/>
        <v>133</v>
      </c>
      <c r="C16" s="55">
        <f t="shared" si="0"/>
        <v>33974080</v>
      </c>
      <c r="D16" s="6">
        <v>28</v>
      </c>
      <c r="E16" s="7">
        <v>7698740</v>
      </c>
      <c r="F16" s="6">
        <v>6</v>
      </c>
      <c r="G16" s="7">
        <v>1221180</v>
      </c>
      <c r="H16" s="6">
        <v>38</v>
      </c>
      <c r="I16" s="7">
        <v>9085510</v>
      </c>
      <c r="J16" s="6">
        <v>0</v>
      </c>
      <c r="K16" s="7">
        <v>0</v>
      </c>
      <c r="L16" s="6">
        <v>24</v>
      </c>
      <c r="M16" s="7">
        <v>6474140</v>
      </c>
      <c r="N16" s="6">
        <v>4</v>
      </c>
      <c r="O16" s="7">
        <v>711960</v>
      </c>
      <c r="P16" s="6">
        <v>3</v>
      </c>
      <c r="Q16" s="7">
        <v>565800</v>
      </c>
      <c r="R16" s="6">
        <v>0</v>
      </c>
      <c r="S16" s="7">
        <v>0</v>
      </c>
      <c r="T16" s="6">
        <v>4</v>
      </c>
      <c r="U16" s="7">
        <v>898940</v>
      </c>
      <c r="V16" s="6">
        <v>5</v>
      </c>
      <c r="W16" s="7">
        <v>1148560</v>
      </c>
      <c r="X16" s="6">
        <v>2</v>
      </c>
      <c r="Y16" s="7">
        <v>1093960</v>
      </c>
      <c r="Z16" s="6">
        <v>6</v>
      </c>
      <c r="AA16" s="7">
        <v>1801750</v>
      </c>
      <c r="AB16" s="6">
        <v>8</v>
      </c>
      <c r="AC16" s="7">
        <v>2117870</v>
      </c>
      <c r="AD16" s="6">
        <v>1</v>
      </c>
      <c r="AE16" s="7">
        <v>199740</v>
      </c>
      <c r="AF16" s="6">
        <v>4</v>
      </c>
      <c r="AG16" s="7">
        <v>955930</v>
      </c>
    </row>
    <row r="17" spans="1:33" ht="21" thickBot="1" x14ac:dyDescent="0.3">
      <c r="A17" s="51">
        <v>46187</v>
      </c>
      <c r="B17" s="54">
        <f t="shared" si="1"/>
        <v>112</v>
      </c>
      <c r="C17" s="55">
        <f t="shared" si="0"/>
        <v>27659970</v>
      </c>
      <c r="D17" s="6">
        <v>2</v>
      </c>
      <c r="E17" s="7">
        <v>655060</v>
      </c>
      <c r="F17" s="6">
        <v>27</v>
      </c>
      <c r="G17" s="7">
        <v>5977320</v>
      </c>
      <c r="H17" s="6">
        <v>23</v>
      </c>
      <c r="I17" s="7">
        <v>7091180</v>
      </c>
      <c r="J17" s="6">
        <v>2</v>
      </c>
      <c r="K17" s="7">
        <v>643500</v>
      </c>
      <c r="L17" s="6">
        <v>39</v>
      </c>
      <c r="M17" s="7">
        <v>8896640</v>
      </c>
      <c r="N17" s="6">
        <v>0</v>
      </c>
      <c r="O17" s="7">
        <v>0</v>
      </c>
      <c r="P17" s="6">
        <v>0</v>
      </c>
      <c r="Q17" s="7">
        <v>0</v>
      </c>
      <c r="R17" s="6">
        <v>1</v>
      </c>
      <c r="S17" s="7">
        <v>265500</v>
      </c>
      <c r="T17" s="6">
        <v>8</v>
      </c>
      <c r="U17" s="7">
        <v>1946500</v>
      </c>
      <c r="V17" s="6">
        <v>0</v>
      </c>
      <c r="W17" s="7">
        <v>0</v>
      </c>
      <c r="X17" s="6">
        <v>1</v>
      </c>
      <c r="Y17" s="7">
        <v>76380</v>
      </c>
      <c r="Z17" s="6">
        <v>5</v>
      </c>
      <c r="AA17" s="7">
        <v>1262660</v>
      </c>
      <c r="AB17" s="6">
        <v>3</v>
      </c>
      <c r="AC17" s="7">
        <v>586620</v>
      </c>
      <c r="AD17" s="6">
        <v>1</v>
      </c>
      <c r="AE17" s="7">
        <v>258610</v>
      </c>
      <c r="AF17" s="6">
        <v>0</v>
      </c>
      <c r="AG17" s="7">
        <v>0</v>
      </c>
    </row>
    <row r="18" spans="1:33" ht="21" thickBot="1" x14ac:dyDescent="0.3">
      <c r="A18" s="51">
        <v>46188</v>
      </c>
      <c r="B18" s="54">
        <f t="shared" si="1"/>
        <v>120</v>
      </c>
      <c r="C18" s="55">
        <f t="shared" si="0"/>
        <v>29818110</v>
      </c>
      <c r="D18" s="6">
        <v>6</v>
      </c>
      <c r="E18" s="7">
        <v>1451900</v>
      </c>
      <c r="F18" s="6">
        <v>21</v>
      </c>
      <c r="G18" s="7">
        <v>5549090</v>
      </c>
      <c r="H18" s="6">
        <v>14</v>
      </c>
      <c r="I18" s="7">
        <v>4441860</v>
      </c>
      <c r="J18" s="6">
        <v>0</v>
      </c>
      <c r="K18" s="7">
        <v>0</v>
      </c>
      <c r="L18" s="6">
        <v>29</v>
      </c>
      <c r="M18" s="7">
        <v>6864240</v>
      </c>
      <c r="N18" s="6">
        <v>2</v>
      </c>
      <c r="O18" s="7">
        <v>517220</v>
      </c>
      <c r="P18" s="6">
        <v>12</v>
      </c>
      <c r="Q18" s="7">
        <v>3650370</v>
      </c>
      <c r="R18" s="6">
        <v>0</v>
      </c>
      <c r="S18" s="7">
        <v>0</v>
      </c>
      <c r="T18" s="6">
        <v>9</v>
      </c>
      <c r="U18" s="7">
        <v>1807060</v>
      </c>
      <c r="V18" s="6">
        <v>4</v>
      </c>
      <c r="W18" s="7">
        <v>1054040</v>
      </c>
      <c r="X18" s="6">
        <v>0</v>
      </c>
      <c r="Y18" s="7">
        <v>0</v>
      </c>
      <c r="Z18" s="6">
        <v>4</v>
      </c>
      <c r="AA18" s="7">
        <v>678980</v>
      </c>
      <c r="AB18" s="6">
        <v>7</v>
      </c>
      <c r="AC18" s="7">
        <v>1402630</v>
      </c>
      <c r="AD18" s="6">
        <v>12</v>
      </c>
      <c r="AE18" s="7">
        <v>2400720</v>
      </c>
      <c r="AF18" s="6">
        <v>0</v>
      </c>
      <c r="AG18" s="7">
        <v>0</v>
      </c>
    </row>
    <row r="19" spans="1:33" ht="21" thickBot="1" x14ac:dyDescent="0.3">
      <c r="A19" s="51">
        <v>46189</v>
      </c>
      <c r="B19" s="54">
        <f t="shared" si="1"/>
        <v>241</v>
      </c>
      <c r="C19" s="55">
        <f t="shared" si="0"/>
        <v>64486450</v>
      </c>
      <c r="D19" s="6">
        <v>3</v>
      </c>
      <c r="E19" s="7">
        <v>1376650</v>
      </c>
      <c r="F19" s="6">
        <v>10</v>
      </c>
      <c r="G19" s="7">
        <v>3047560</v>
      </c>
      <c r="H19" s="6">
        <v>84</v>
      </c>
      <c r="I19" s="7">
        <v>21932310</v>
      </c>
      <c r="J19" s="6">
        <v>0</v>
      </c>
      <c r="K19" s="7">
        <v>0</v>
      </c>
      <c r="L19" s="6">
        <v>28</v>
      </c>
      <c r="M19" s="7">
        <v>6981710</v>
      </c>
      <c r="N19" s="6">
        <v>9</v>
      </c>
      <c r="O19" s="66">
        <v>7896110</v>
      </c>
      <c r="P19" s="6">
        <v>3</v>
      </c>
      <c r="Q19" s="7">
        <v>647380</v>
      </c>
      <c r="R19" s="6">
        <v>2</v>
      </c>
      <c r="S19" s="7">
        <v>249280</v>
      </c>
      <c r="T19" s="6">
        <v>33</v>
      </c>
      <c r="U19" s="7">
        <v>7451930</v>
      </c>
      <c r="V19" s="6">
        <v>20</v>
      </c>
      <c r="W19" s="7">
        <v>4405310</v>
      </c>
      <c r="X19" s="6">
        <v>0</v>
      </c>
      <c r="Y19" s="7">
        <v>0</v>
      </c>
      <c r="Z19" s="6">
        <v>29</v>
      </c>
      <c r="AA19" s="7">
        <v>6372800</v>
      </c>
      <c r="AB19" s="6">
        <v>7</v>
      </c>
      <c r="AC19" s="7">
        <v>1597780</v>
      </c>
      <c r="AD19" s="6">
        <v>0</v>
      </c>
      <c r="AE19" s="7">
        <v>0</v>
      </c>
      <c r="AF19" s="6">
        <v>13</v>
      </c>
      <c r="AG19" s="7">
        <v>2527630</v>
      </c>
    </row>
    <row r="20" spans="1:33" ht="21" thickBot="1" x14ac:dyDescent="0.3">
      <c r="A20" s="51">
        <v>46190</v>
      </c>
      <c r="B20" s="54">
        <f t="shared" si="1"/>
        <v>233</v>
      </c>
      <c r="C20" s="55">
        <f t="shared" si="0"/>
        <v>57801350</v>
      </c>
      <c r="D20" s="6">
        <v>25</v>
      </c>
      <c r="E20" s="7">
        <v>6566550</v>
      </c>
      <c r="F20" s="6">
        <v>6</v>
      </c>
      <c r="G20" s="7">
        <v>1546740</v>
      </c>
      <c r="H20" s="6">
        <v>37</v>
      </c>
      <c r="I20" s="7">
        <v>9507910</v>
      </c>
      <c r="J20" s="6">
        <v>0</v>
      </c>
      <c r="K20" s="7">
        <v>0</v>
      </c>
      <c r="L20" s="6">
        <v>36</v>
      </c>
      <c r="M20" s="7">
        <v>8666230</v>
      </c>
      <c r="N20" s="6">
        <v>10</v>
      </c>
      <c r="O20" s="7">
        <v>3806630</v>
      </c>
      <c r="P20" s="6">
        <v>1</v>
      </c>
      <c r="Q20" s="7">
        <v>171090</v>
      </c>
      <c r="R20" s="6">
        <v>5</v>
      </c>
      <c r="S20" s="7">
        <v>1108660</v>
      </c>
      <c r="T20" s="6">
        <v>16</v>
      </c>
      <c r="U20" s="7">
        <v>4011170</v>
      </c>
      <c r="V20" s="6">
        <v>18</v>
      </c>
      <c r="W20" s="7">
        <v>4687150</v>
      </c>
      <c r="X20" s="6">
        <v>18</v>
      </c>
      <c r="Y20" s="7">
        <v>5304090</v>
      </c>
      <c r="Z20" s="6">
        <v>17</v>
      </c>
      <c r="AA20" s="7">
        <v>3646540</v>
      </c>
      <c r="AB20" s="6">
        <v>11</v>
      </c>
      <c r="AC20" s="7">
        <v>1753920</v>
      </c>
      <c r="AD20" s="6">
        <v>32</v>
      </c>
      <c r="AE20" s="7">
        <v>6902900</v>
      </c>
      <c r="AF20" s="6">
        <v>1</v>
      </c>
      <c r="AG20" s="7">
        <v>121770</v>
      </c>
    </row>
    <row r="21" spans="1:33" ht="21" thickBot="1" x14ac:dyDescent="0.3">
      <c r="A21" s="51">
        <v>46191</v>
      </c>
      <c r="B21" s="54">
        <f t="shared" si="1"/>
        <v>157</v>
      </c>
      <c r="C21" s="55">
        <f t="shared" si="0"/>
        <v>45951270</v>
      </c>
      <c r="D21" s="6">
        <v>28</v>
      </c>
      <c r="E21" s="7">
        <v>11308540</v>
      </c>
      <c r="F21" s="6">
        <v>8</v>
      </c>
      <c r="G21" s="7">
        <v>1499050</v>
      </c>
      <c r="H21" s="6">
        <v>25</v>
      </c>
      <c r="I21" s="7">
        <v>7304000</v>
      </c>
      <c r="J21" s="6">
        <v>0</v>
      </c>
      <c r="K21" s="7">
        <v>0</v>
      </c>
      <c r="L21" s="6">
        <v>25</v>
      </c>
      <c r="M21" s="7">
        <v>9200030</v>
      </c>
      <c r="N21" s="6">
        <v>10</v>
      </c>
      <c r="O21" s="7">
        <v>4601270</v>
      </c>
      <c r="P21" s="6">
        <v>0</v>
      </c>
      <c r="Q21" s="7">
        <v>0</v>
      </c>
      <c r="R21" s="6">
        <v>1</v>
      </c>
      <c r="S21" s="7">
        <v>265500</v>
      </c>
      <c r="T21" s="6">
        <v>0</v>
      </c>
      <c r="U21" s="7">
        <v>0</v>
      </c>
      <c r="V21" s="6">
        <v>13</v>
      </c>
      <c r="W21" s="7">
        <v>2197620</v>
      </c>
      <c r="X21" s="6">
        <v>2</v>
      </c>
      <c r="Y21" s="7">
        <v>545880</v>
      </c>
      <c r="Z21" s="6">
        <v>11</v>
      </c>
      <c r="AA21" s="7">
        <v>2626050</v>
      </c>
      <c r="AB21" s="6">
        <v>2</v>
      </c>
      <c r="AC21" s="7">
        <v>552260</v>
      </c>
      <c r="AD21" s="6">
        <v>23</v>
      </c>
      <c r="AE21" s="7">
        <v>4404600</v>
      </c>
      <c r="AF21" s="6">
        <v>9</v>
      </c>
      <c r="AG21" s="7">
        <v>1446470</v>
      </c>
    </row>
    <row r="22" spans="1:33" ht="21" thickBot="1" x14ac:dyDescent="0.3">
      <c r="A22" s="51">
        <v>46192</v>
      </c>
      <c r="B22" s="54">
        <f t="shared" si="1"/>
        <v>163</v>
      </c>
      <c r="C22" s="55">
        <f t="shared" si="0"/>
        <v>45241490</v>
      </c>
      <c r="D22" s="6">
        <v>23</v>
      </c>
      <c r="E22" s="7">
        <v>9240560</v>
      </c>
      <c r="F22" s="6">
        <v>0</v>
      </c>
      <c r="G22" s="7">
        <v>0</v>
      </c>
      <c r="H22" s="6">
        <v>33</v>
      </c>
      <c r="I22" s="7">
        <v>8060240</v>
      </c>
      <c r="J22" s="6">
        <v>2</v>
      </c>
      <c r="K22" s="7">
        <v>759250</v>
      </c>
      <c r="L22" s="6">
        <v>32</v>
      </c>
      <c r="M22" s="7">
        <v>9686810</v>
      </c>
      <c r="N22" s="6">
        <v>6</v>
      </c>
      <c r="O22" s="7">
        <v>1016190</v>
      </c>
      <c r="P22" s="6">
        <v>10</v>
      </c>
      <c r="Q22" s="7">
        <v>1705900</v>
      </c>
      <c r="R22" s="6">
        <v>0</v>
      </c>
      <c r="S22" s="7">
        <v>0</v>
      </c>
      <c r="T22" s="6">
        <v>8</v>
      </c>
      <c r="U22" s="7">
        <v>2163730</v>
      </c>
      <c r="V22" s="6">
        <v>8</v>
      </c>
      <c r="W22" s="7">
        <v>2042970</v>
      </c>
      <c r="X22" s="6">
        <v>8</v>
      </c>
      <c r="Y22" s="7">
        <v>3183870</v>
      </c>
      <c r="Z22" s="6">
        <v>10</v>
      </c>
      <c r="AA22" s="7">
        <v>2111500</v>
      </c>
      <c r="AB22" s="6">
        <v>0</v>
      </c>
      <c r="AC22" s="7">
        <v>0</v>
      </c>
      <c r="AD22" s="6">
        <v>15</v>
      </c>
      <c r="AE22" s="7">
        <v>2827040</v>
      </c>
      <c r="AF22" s="6">
        <v>8</v>
      </c>
      <c r="AG22" s="7">
        <v>2443430</v>
      </c>
    </row>
    <row r="23" spans="1:33" ht="21" thickBot="1" x14ac:dyDescent="0.3">
      <c r="A23" s="51">
        <v>46193</v>
      </c>
      <c r="B23" s="54">
        <f t="shared" si="1"/>
        <v>161</v>
      </c>
      <c r="C23" s="55">
        <f t="shared" si="0"/>
        <v>37972640</v>
      </c>
      <c r="D23" s="6">
        <v>22</v>
      </c>
      <c r="E23" s="7">
        <v>6349770</v>
      </c>
      <c r="F23" s="6">
        <v>1</v>
      </c>
      <c r="G23" s="7">
        <v>640390</v>
      </c>
      <c r="H23" s="6">
        <v>67</v>
      </c>
      <c r="I23" s="7">
        <v>15689110</v>
      </c>
      <c r="J23" s="6">
        <v>0</v>
      </c>
      <c r="K23" s="7">
        <v>0</v>
      </c>
      <c r="L23" s="6">
        <v>26</v>
      </c>
      <c r="M23" s="7">
        <v>4992470</v>
      </c>
      <c r="N23" s="6">
        <v>0</v>
      </c>
      <c r="O23" s="7">
        <v>0</v>
      </c>
      <c r="P23" s="6">
        <v>0</v>
      </c>
      <c r="Q23" s="7">
        <v>0</v>
      </c>
      <c r="R23" s="6">
        <v>0</v>
      </c>
      <c r="S23" s="7">
        <v>0</v>
      </c>
      <c r="T23" s="6">
        <v>4</v>
      </c>
      <c r="U23" s="7">
        <v>2561540</v>
      </c>
      <c r="V23" s="6">
        <v>3</v>
      </c>
      <c r="W23" s="7">
        <v>464710</v>
      </c>
      <c r="X23" s="6">
        <v>2</v>
      </c>
      <c r="Y23" s="7">
        <v>545880</v>
      </c>
      <c r="Z23" s="6">
        <v>9</v>
      </c>
      <c r="AA23" s="7">
        <v>1857360</v>
      </c>
      <c r="AB23" s="6">
        <v>0</v>
      </c>
      <c r="AC23" s="7">
        <v>0</v>
      </c>
      <c r="AD23" s="6">
        <v>13</v>
      </c>
      <c r="AE23" s="7">
        <v>2849200</v>
      </c>
      <c r="AF23" s="6">
        <v>14</v>
      </c>
      <c r="AG23" s="7">
        <v>2022210</v>
      </c>
    </row>
    <row r="24" spans="1:33" ht="21" thickBot="1" x14ac:dyDescent="0.3">
      <c r="A24" s="51">
        <v>46194</v>
      </c>
      <c r="B24" s="54">
        <f t="shared" si="1"/>
        <v>125</v>
      </c>
      <c r="C24" s="55">
        <f t="shared" si="0"/>
        <v>30981160</v>
      </c>
      <c r="D24" s="6">
        <v>1</v>
      </c>
      <c r="E24" s="7">
        <v>455000</v>
      </c>
      <c r="F24" s="6">
        <v>2</v>
      </c>
      <c r="G24" s="7">
        <v>431280</v>
      </c>
      <c r="H24" s="6">
        <v>43</v>
      </c>
      <c r="I24" s="7">
        <v>11481990</v>
      </c>
      <c r="J24" s="6">
        <v>0</v>
      </c>
      <c r="K24" s="7">
        <v>0</v>
      </c>
      <c r="L24" s="6">
        <v>31</v>
      </c>
      <c r="M24" s="7">
        <v>8786810</v>
      </c>
      <c r="N24" s="6">
        <v>2</v>
      </c>
      <c r="O24" s="7">
        <v>363390</v>
      </c>
      <c r="P24" s="6">
        <v>0</v>
      </c>
      <c r="Q24" s="7">
        <v>0</v>
      </c>
      <c r="R24" s="6">
        <v>0</v>
      </c>
      <c r="S24" s="7">
        <v>0</v>
      </c>
      <c r="T24" s="6">
        <v>20</v>
      </c>
      <c r="U24" s="7">
        <v>3801350</v>
      </c>
      <c r="V24" s="6">
        <v>10</v>
      </c>
      <c r="W24" s="7">
        <v>1818830</v>
      </c>
      <c r="X24" s="6">
        <v>2</v>
      </c>
      <c r="Y24" s="7">
        <v>405840</v>
      </c>
      <c r="Z24" s="6">
        <v>11</v>
      </c>
      <c r="AA24" s="7">
        <v>2851120</v>
      </c>
      <c r="AB24" s="6">
        <v>0</v>
      </c>
      <c r="AC24" s="7">
        <v>0</v>
      </c>
      <c r="AD24" s="6">
        <v>1</v>
      </c>
      <c r="AE24" s="7">
        <v>215650</v>
      </c>
      <c r="AF24" s="6">
        <v>2</v>
      </c>
      <c r="AG24" s="7">
        <v>369900</v>
      </c>
    </row>
    <row r="25" spans="1:33" ht="21" thickBot="1" x14ac:dyDescent="0.3">
      <c r="A25" s="51">
        <v>46195</v>
      </c>
      <c r="B25" s="54">
        <f t="shared" si="1"/>
        <v>144</v>
      </c>
      <c r="C25" s="55">
        <f t="shared" si="0"/>
        <v>37250500</v>
      </c>
      <c r="D25" s="6">
        <v>13</v>
      </c>
      <c r="E25" s="7">
        <v>3390320</v>
      </c>
      <c r="F25" s="6">
        <v>7</v>
      </c>
      <c r="G25" s="7">
        <v>2279580</v>
      </c>
      <c r="H25" s="6">
        <v>19</v>
      </c>
      <c r="I25" s="7">
        <v>5471260</v>
      </c>
      <c r="J25" s="6">
        <v>0</v>
      </c>
      <c r="K25" s="7">
        <v>0</v>
      </c>
      <c r="L25" s="6">
        <v>21</v>
      </c>
      <c r="M25" s="7">
        <v>6959410</v>
      </c>
      <c r="N25" s="6">
        <v>1</v>
      </c>
      <c r="O25" s="7">
        <v>177990</v>
      </c>
      <c r="P25" s="6">
        <v>21</v>
      </c>
      <c r="Q25" s="7">
        <v>4182760</v>
      </c>
      <c r="R25" s="6">
        <v>4</v>
      </c>
      <c r="S25" s="7">
        <v>846460</v>
      </c>
      <c r="T25" s="6">
        <v>15</v>
      </c>
      <c r="U25" s="7">
        <v>2155170</v>
      </c>
      <c r="V25" s="6">
        <v>9</v>
      </c>
      <c r="W25" s="7">
        <v>2040060</v>
      </c>
      <c r="X25" s="6">
        <v>11</v>
      </c>
      <c r="Y25" s="7">
        <v>4362970</v>
      </c>
      <c r="Z25" s="6">
        <v>7</v>
      </c>
      <c r="AA25" s="7">
        <v>1598680</v>
      </c>
      <c r="AB25" s="6">
        <v>0</v>
      </c>
      <c r="AC25" s="7">
        <v>0</v>
      </c>
      <c r="AD25" s="6">
        <v>15</v>
      </c>
      <c r="AE25" s="7">
        <v>3512900</v>
      </c>
      <c r="AF25" s="6">
        <v>1</v>
      </c>
      <c r="AG25" s="7">
        <v>272940</v>
      </c>
    </row>
    <row r="26" spans="1:33" ht="21" thickBot="1" x14ac:dyDescent="0.3">
      <c r="A26" s="51">
        <v>46196</v>
      </c>
      <c r="B26" s="54">
        <f t="shared" si="1"/>
        <v>181</v>
      </c>
      <c r="C26" s="55">
        <f t="shared" si="0"/>
        <v>43983920</v>
      </c>
      <c r="D26" s="6">
        <v>47</v>
      </c>
      <c r="E26" s="7">
        <v>14633570</v>
      </c>
      <c r="F26" s="6">
        <v>0</v>
      </c>
      <c r="G26" s="7">
        <v>0</v>
      </c>
      <c r="H26" s="6">
        <v>6</v>
      </c>
      <c r="I26" s="7">
        <v>1291650</v>
      </c>
      <c r="J26" s="6">
        <v>0</v>
      </c>
      <c r="K26" s="7">
        <v>0</v>
      </c>
      <c r="L26" s="6">
        <v>14</v>
      </c>
      <c r="M26" s="7">
        <v>3807210</v>
      </c>
      <c r="N26" s="6">
        <v>5</v>
      </c>
      <c r="O26" s="7">
        <v>1150620</v>
      </c>
      <c r="P26" s="6">
        <v>6</v>
      </c>
      <c r="Q26" s="7">
        <v>1964560</v>
      </c>
      <c r="R26" s="6">
        <v>3</v>
      </c>
      <c r="S26" s="7">
        <v>735420</v>
      </c>
      <c r="T26" s="6">
        <v>15</v>
      </c>
      <c r="U26" s="7">
        <v>2417980</v>
      </c>
      <c r="V26" s="6">
        <v>50</v>
      </c>
      <c r="W26" s="7">
        <v>10140090</v>
      </c>
      <c r="X26" s="6">
        <v>8</v>
      </c>
      <c r="Y26" s="7">
        <v>2366430</v>
      </c>
      <c r="Z26" s="6">
        <v>9</v>
      </c>
      <c r="AA26" s="7">
        <v>2431590</v>
      </c>
      <c r="AB26" s="6">
        <v>1</v>
      </c>
      <c r="AC26" s="7">
        <v>216700</v>
      </c>
      <c r="AD26" s="6">
        <v>6</v>
      </c>
      <c r="AE26" s="7">
        <v>1117800</v>
      </c>
      <c r="AF26" s="6">
        <v>11</v>
      </c>
      <c r="AG26" s="7">
        <v>1710300</v>
      </c>
    </row>
    <row r="27" spans="1:33" ht="21" thickBot="1" x14ac:dyDescent="0.3">
      <c r="A27" s="51">
        <v>46197</v>
      </c>
      <c r="B27" s="54">
        <f t="shared" si="1"/>
        <v>268</v>
      </c>
      <c r="C27" s="55">
        <f t="shared" si="0"/>
        <v>67856390</v>
      </c>
      <c r="D27" s="6">
        <v>24</v>
      </c>
      <c r="E27" s="7">
        <v>5466710</v>
      </c>
      <c r="F27" s="6">
        <v>12</v>
      </c>
      <c r="G27" s="7">
        <v>2814800</v>
      </c>
      <c r="H27" s="6">
        <v>125</v>
      </c>
      <c r="I27" s="7">
        <v>30989890</v>
      </c>
      <c r="J27" s="6">
        <v>1</v>
      </c>
      <c r="K27" s="7">
        <v>147730</v>
      </c>
      <c r="L27" s="6">
        <v>21</v>
      </c>
      <c r="M27" s="7">
        <v>5782260</v>
      </c>
      <c r="N27" s="6">
        <v>7</v>
      </c>
      <c r="O27" s="7">
        <v>3293650</v>
      </c>
      <c r="P27" s="6">
        <v>14</v>
      </c>
      <c r="Q27" s="7">
        <v>3215250</v>
      </c>
      <c r="R27" s="6">
        <v>9</v>
      </c>
      <c r="S27" s="7">
        <v>2149600</v>
      </c>
      <c r="T27" s="6">
        <v>14</v>
      </c>
      <c r="U27" s="7">
        <v>4207070</v>
      </c>
      <c r="V27" s="6">
        <v>8</v>
      </c>
      <c r="W27" s="7">
        <v>2162780</v>
      </c>
      <c r="X27" s="6">
        <v>4</v>
      </c>
      <c r="Y27" s="7">
        <v>1425940</v>
      </c>
      <c r="Z27" s="6">
        <v>26</v>
      </c>
      <c r="AA27" s="7">
        <v>5776480</v>
      </c>
      <c r="AB27" s="6">
        <v>3</v>
      </c>
      <c r="AC27" s="7">
        <v>424230</v>
      </c>
      <c r="AD27" s="6">
        <v>0</v>
      </c>
      <c r="AE27" s="7">
        <v>0</v>
      </c>
      <c r="AF27" s="6">
        <v>0</v>
      </c>
      <c r="AG27" s="7">
        <v>0</v>
      </c>
    </row>
    <row r="28" spans="1:33" ht="21" thickBot="1" x14ac:dyDescent="0.3">
      <c r="A28" s="51">
        <v>46198</v>
      </c>
      <c r="B28" s="54">
        <f t="shared" si="1"/>
        <v>148</v>
      </c>
      <c r="C28" s="55">
        <f t="shared" si="0"/>
        <v>38190350</v>
      </c>
      <c r="D28" s="6">
        <v>4</v>
      </c>
      <c r="E28" s="7">
        <v>882030</v>
      </c>
      <c r="F28" s="6">
        <v>2</v>
      </c>
      <c r="G28" s="7">
        <v>1006550</v>
      </c>
      <c r="H28" s="6">
        <v>47</v>
      </c>
      <c r="I28" s="7">
        <v>12566280</v>
      </c>
      <c r="J28" s="6">
        <v>0</v>
      </c>
      <c r="K28" s="7">
        <v>0</v>
      </c>
      <c r="L28" s="6">
        <v>31</v>
      </c>
      <c r="M28" s="7">
        <v>7735450</v>
      </c>
      <c r="N28" s="6">
        <v>13</v>
      </c>
      <c r="O28" s="7">
        <v>5102750</v>
      </c>
      <c r="P28" s="6">
        <v>1</v>
      </c>
      <c r="Q28" s="7">
        <v>245140</v>
      </c>
      <c r="R28" s="6">
        <v>4</v>
      </c>
      <c r="S28" s="7">
        <v>822070</v>
      </c>
      <c r="T28" s="6">
        <v>9</v>
      </c>
      <c r="U28" s="7">
        <v>2132680</v>
      </c>
      <c r="V28" s="6">
        <v>20</v>
      </c>
      <c r="W28" s="7">
        <v>3862430</v>
      </c>
      <c r="X28" s="6">
        <v>10</v>
      </c>
      <c r="Y28" s="7">
        <v>2689380</v>
      </c>
      <c r="Z28" s="6">
        <v>4</v>
      </c>
      <c r="AA28" s="7">
        <v>702300</v>
      </c>
      <c r="AB28" s="6">
        <v>0</v>
      </c>
      <c r="AC28" s="7">
        <v>0</v>
      </c>
      <c r="AD28" s="6">
        <v>0</v>
      </c>
      <c r="AE28" s="7">
        <v>0</v>
      </c>
      <c r="AF28" s="6">
        <v>3</v>
      </c>
      <c r="AG28" s="7">
        <v>443290</v>
      </c>
    </row>
    <row r="29" spans="1:33" ht="21" thickBot="1" x14ac:dyDescent="0.3">
      <c r="A29" s="51">
        <v>46199</v>
      </c>
      <c r="B29" s="54">
        <f t="shared" si="1"/>
        <v>192</v>
      </c>
      <c r="C29" s="55">
        <f t="shared" si="0"/>
        <v>49386260</v>
      </c>
      <c r="D29" s="6">
        <v>3</v>
      </c>
      <c r="E29" s="7">
        <v>1169000</v>
      </c>
      <c r="F29" s="6">
        <v>23</v>
      </c>
      <c r="G29" s="7">
        <v>6317990</v>
      </c>
      <c r="H29" s="6">
        <v>53</v>
      </c>
      <c r="I29" s="7">
        <v>12408380</v>
      </c>
      <c r="J29" s="6">
        <v>0</v>
      </c>
      <c r="K29" s="7">
        <v>0</v>
      </c>
      <c r="L29" s="6">
        <v>28</v>
      </c>
      <c r="M29" s="7">
        <v>10598590</v>
      </c>
      <c r="N29" s="6">
        <v>7</v>
      </c>
      <c r="O29" s="7">
        <v>2235860</v>
      </c>
      <c r="P29" s="6">
        <v>1</v>
      </c>
      <c r="Q29" s="7">
        <v>164180</v>
      </c>
      <c r="R29" s="6">
        <v>0</v>
      </c>
      <c r="S29" s="7">
        <v>0</v>
      </c>
      <c r="T29" s="6">
        <v>8</v>
      </c>
      <c r="U29" s="7">
        <v>1385890</v>
      </c>
      <c r="V29" s="6">
        <v>36</v>
      </c>
      <c r="W29" s="7">
        <v>7399260</v>
      </c>
      <c r="X29" s="6">
        <v>5</v>
      </c>
      <c r="Y29" s="7">
        <v>1847780</v>
      </c>
      <c r="Z29" s="6">
        <v>7</v>
      </c>
      <c r="AA29" s="7">
        <v>1447030</v>
      </c>
      <c r="AB29" s="6">
        <v>12</v>
      </c>
      <c r="AC29" s="7">
        <v>2656370</v>
      </c>
      <c r="AD29" s="6">
        <v>4</v>
      </c>
      <c r="AE29" s="7">
        <v>761840</v>
      </c>
      <c r="AF29" s="6">
        <v>5</v>
      </c>
      <c r="AG29" s="7">
        <v>994090</v>
      </c>
    </row>
    <row r="30" spans="1:33" ht="21" thickBot="1" x14ac:dyDescent="0.3">
      <c r="A30" s="51">
        <v>46200</v>
      </c>
      <c r="B30" s="54">
        <f t="shared" si="1"/>
        <v>116</v>
      </c>
      <c r="C30" s="55">
        <f t="shared" si="0"/>
        <v>30640650</v>
      </c>
      <c r="D30" s="6">
        <v>1</v>
      </c>
      <c r="E30" s="7">
        <v>429000</v>
      </c>
      <c r="F30" s="6">
        <v>4</v>
      </c>
      <c r="G30" s="7">
        <v>914340</v>
      </c>
      <c r="H30" s="6">
        <v>26</v>
      </c>
      <c r="I30" s="7">
        <v>5653420</v>
      </c>
      <c r="J30" s="6">
        <v>0</v>
      </c>
      <c r="K30" s="7">
        <v>0</v>
      </c>
      <c r="L30" s="6">
        <v>27</v>
      </c>
      <c r="M30" s="7">
        <v>7995680</v>
      </c>
      <c r="N30" s="6">
        <v>8</v>
      </c>
      <c r="O30" s="7">
        <v>1979720</v>
      </c>
      <c r="P30" s="6">
        <v>14</v>
      </c>
      <c r="Q30" s="7">
        <v>4435100</v>
      </c>
      <c r="R30" s="6">
        <v>1</v>
      </c>
      <c r="S30" s="7">
        <v>780000</v>
      </c>
      <c r="T30" s="6">
        <v>4</v>
      </c>
      <c r="U30" s="7">
        <v>1104550</v>
      </c>
      <c r="V30" s="6">
        <v>18</v>
      </c>
      <c r="W30" s="7">
        <v>4562210</v>
      </c>
      <c r="X30" s="6">
        <v>3</v>
      </c>
      <c r="Y30" s="7">
        <v>686950</v>
      </c>
      <c r="Z30" s="6">
        <v>10</v>
      </c>
      <c r="AA30" s="7">
        <v>2099680</v>
      </c>
      <c r="AB30" s="6">
        <v>0</v>
      </c>
      <c r="AC30" s="7">
        <v>0</v>
      </c>
      <c r="AD30" s="6">
        <v>0</v>
      </c>
      <c r="AE30" s="7">
        <v>0</v>
      </c>
      <c r="AF30" s="6">
        <v>0</v>
      </c>
      <c r="AG30" s="7">
        <v>0</v>
      </c>
    </row>
    <row r="31" spans="1:33" ht="21" thickBot="1" x14ac:dyDescent="0.3">
      <c r="A31" s="51">
        <v>46201</v>
      </c>
      <c r="B31" s="54">
        <f t="shared" si="1"/>
        <v>89</v>
      </c>
      <c r="C31" s="55">
        <f t="shared" si="0"/>
        <v>18427310</v>
      </c>
      <c r="D31" s="6">
        <v>2</v>
      </c>
      <c r="E31" s="7">
        <v>431280</v>
      </c>
      <c r="F31" s="6">
        <v>3</v>
      </c>
      <c r="G31" s="7">
        <v>647980</v>
      </c>
      <c r="H31" s="6">
        <v>33</v>
      </c>
      <c r="I31" s="7">
        <v>7036350</v>
      </c>
      <c r="J31" s="6">
        <v>0</v>
      </c>
      <c r="K31" s="7">
        <v>0</v>
      </c>
      <c r="L31" s="6">
        <v>14</v>
      </c>
      <c r="M31" s="7">
        <v>3378320</v>
      </c>
      <c r="N31" s="6">
        <v>0</v>
      </c>
      <c r="O31" s="7">
        <v>0</v>
      </c>
      <c r="P31" s="6">
        <v>0</v>
      </c>
      <c r="Q31" s="7">
        <v>0</v>
      </c>
      <c r="R31" s="6">
        <v>0</v>
      </c>
      <c r="S31" s="7">
        <v>0</v>
      </c>
      <c r="T31" s="6">
        <v>15</v>
      </c>
      <c r="U31" s="7">
        <v>2821230</v>
      </c>
      <c r="V31" s="6">
        <v>0</v>
      </c>
      <c r="W31" s="7">
        <v>0</v>
      </c>
      <c r="X31" s="6">
        <v>0</v>
      </c>
      <c r="Y31" s="7">
        <v>0</v>
      </c>
      <c r="Z31" s="6">
        <v>0</v>
      </c>
      <c r="AA31" s="7">
        <v>0</v>
      </c>
      <c r="AB31" s="6">
        <v>1</v>
      </c>
      <c r="AC31" s="7">
        <v>258610</v>
      </c>
      <c r="AD31" s="6">
        <v>20</v>
      </c>
      <c r="AE31" s="7">
        <v>3668590</v>
      </c>
      <c r="AF31" s="6">
        <v>1</v>
      </c>
      <c r="AG31" s="7">
        <v>184950</v>
      </c>
    </row>
    <row r="32" spans="1:33" ht="21" thickBot="1" x14ac:dyDescent="0.3">
      <c r="A32" s="51">
        <v>46202</v>
      </c>
      <c r="B32" s="54">
        <f t="shared" si="1"/>
        <v>97</v>
      </c>
      <c r="C32" s="55">
        <f t="shared" si="0"/>
        <v>28623150</v>
      </c>
      <c r="D32" s="6">
        <v>11</v>
      </c>
      <c r="E32" s="7">
        <v>2558320</v>
      </c>
      <c r="F32" s="6">
        <v>0</v>
      </c>
      <c r="G32" s="7">
        <v>0</v>
      </c>
      <c r="H32" s="6">
        <v>17</v>
      </c>
      <c r="I32" s="7">
        <v>4469330</v>
      </c>
      <c r="J32" s="6">
        <v>0</v>
      </c>
      <c r="K32" s="7">
        <v>0</v>
      </c>
      <c r="L32" s="6">
        <v>23</v>
      </c>
      <c r="M32" s="7">
        <v>10748550</v>
      </c>
      <c r="N32" s="6">
        <v>3</v>
      </c>
      <c r="O32" s="6">
        <v>1481570</v>
      </c>
      <c r="P32" s="6">
        <v>0</v>
      </c>
      <c r="Q32" s="7">
        <v>0</v>
      </c>
      <c r="R32" s="6">
        <v>0</v>
      </c>
      <c r="S32" s="7">
        <v>0</v>
      </c>
      <c r="T32" s="6">
        <v>15</v>
      </c>
      <c r="U32" s="7">
        <v>3677610</v>
      </c>
      <c r="V32" s="6">
        <v>12</v>
      </c>
      <c r="W32" s="7">
        <v>2567350</v>
      </c>
      <c r="X32" s="6">
        <v>0</v>
      </c>
      <c r="Y32" s="7">
        <v>0</v>
      </c>
      <c r="Z32" s="6">
        <v>4</v>
      </c>
      <c r="AA32" s="7">
        <v>820700</v>
      </c>
      <c r="AB32" s="6">
        <v>2</v>
      </c>
      <c r="AC32" s="7">
        <v>414010</v>
      </c>
      <c r="AD32" s="6">
        <v>0</v>
      </c>
      <c r="AE32" s="7">
        <v>0</v>
      </c>
      <c r="AF32" s="6">
        <v>10</v>
      </c>
      <c r="AG32" s="7">
        <v>1885710</v>
      </c>
    </row>
    <row r="33" spans="1:33" ht="21" thickBot="1" x14ac:dyDescent="0.3">
      <c r="A33" s="51">
        <v>46203</v>
      </c>
      <c r="B33" s="54">
        <f t="shared" si="1"/>
        <v>146</v>
      </c>
      <c r="C33" s="55">
        <f t="shared" si="0"/>
        <v>40878500</v>
      </c>
      <c r="D33" s="6">
        <v>6</v>
      </c>
      <c r="E33" s="7">
        <v>3269450</v>
      </c>
      <c r="F33" s="6">
        <v>11</v>
      </c>
      <c r="G33" s="7">
        <v>3643940</v>
      </c>
      <c r="H33" s="6">
        <v>22</v>
      </c>
      <c r="I33" s="7">
        <v>5714640</v>
      </c>
      <c r="J33" s="6">
        <v>0</v>
      </c>
      <c r="K33" s="7">
        <v>0</v>
      </c>
      <c r="L33" s="6">
        <v>13</v>
      </c>
      <c r="M33" s="7">
        <v>3887680</v>
      </c>
      <c r="N33" s="6">
        <v>4</v>
      </c>
      <c r="O33" s="7">
        <v>1486120</v>
      </c>
      <c r="P33" s="6">
        <v>6</v>
      </c>
      <c r="Q33" s="7">
        <v>3269450</v>
      </c>
      <c r="R33" s="6">
        <v>0</v>
      </c>
      <c r="S33" s="7">
        <v>0</v>
      </c>
      <c r="T33" s="6">
        <v>11</v>
      </c>
      <c r="U33" s="7">
        <v>2205770</v>
      </c>
      <c r="V33" s="6">
        <v>28</v>
      </c>
      <c r="W33" s="7">
        <v>6315540</v>
      </c>
      <c r="X33" s="6">
        <v>13</v>
      </c>
      <c r="Y33" s="7">
        <v>4772110</v>
      </c>
      <c r="Z33" s="6">
        <v>10</v>
      </c>
      <c r="AA33" s="7">
        <v>1581810</v>
      </c>
      <c r="AB33" s="6">
        <v>0</v>
      </c>
      <c r="AC33" s="7">
        <v>0</v>
      </c>
      <c r="AD33" s="6">
        <v>21</v>
      </c>
      <c r="AE33" s="7">
        <v>4554310</v>
      </c>
      <c r="AF33" s="6">
        <v>1</v>
      </c>
      <c r="AG33" s="7">
        <v>177680</v>
      </c>
    </row>
    <row r="34" spans="1:33" s="11" customFormat="1" ht="24" thickBot="1" x14ac:dyDescent="0.3">
      <c r="A34" s="52" t="s">
        <v>1</v>
      </c>
      <c r="B34" s="13">
        <f t="shared" ref="B34:AG34" si="2">SUM(B4:B33)</f>
        <v>5288</v>
      </c>
      <c r="C34" s="35">
        <f t="shared" si="2"/>
        <v>1366970360</v>
      </c>
      <c r="D34" s="13">
        <f t="shared" si="2"/>
        <v>362</v>
      </c>
      <c r="E34" s="35">
        <f t="shared" si="2"/>
        <v>109026850</v>
      </c>
      <c r="F34" s="13">
        <f>SUM(F4:F33)</f>
        <v>398</v>
      </c>
      <c r="G34" s="35">
        <f>SUM(G4:G33)</f>
        <v>106133150</v>
      </c>
      <c r="H34" s="13">
        <f>SUM(H4:H33)</f>
        <v>1251</v>
      </c>
      <c r="I34" s="35">
        <f>SUM(I4:I33)</f>
        <v>305409040</v>
      </c>
      <c r="J34" s="13">
        <f t="shared" si="2"/>
        <v>15</v>
      </c>
      <c r="K34" s="35">
        <f t="shared" si="2"/>
        <v>4161890</v>
      </c>
      <c r="L34" s="13">
        <f t="shared" si="2"/>
        <v>846</v>
      </c>
      <c r="M34" s="35">
        <f t="shared" si="2"/>
        <v>237115560</v>
      </c>
      <c r="N34" s="13">
        <f t="shared" si="2"/>
        <v>232</v>
      </c>
      <c r="O34" s="35">
        <f t="shared" si="2"/>
        <v>89055210</v>
      </c>
      <c r="P34" s="13">
        <f t="shared" si="2"/>
        <v>188</v>
      </c>
      <c r="Q34" s="35">
        <f t="shared" si="2"/>
        <v>53910560</v>
      </c>
      <c r="R34" s="13">
        <f t="shared" si="2"/>
        <v>70</v>
      </c>
      <c r="S34" s="35">
        <f t="shared" si="2"/>
        <v>19113270</v>
      </c>
      <c r="T34" s="13">
        <f t="shared" si="2"/>
        <v>366</v>
      </c>
      <c r="U34" s="35">
        <f t="shared" si="2"/>
        <v>84209810</v>
      </c>
      <c r="V34" s="13">
        <f t="shared" si="2"/>
        <v>333</v>
      </c>
      <c r="W34" s="35">
        <f t="shared" si="2"/>
        <v>73708360</v>
      </c>
      <c r="X34" s="13">
        <f t="shared" si="2"/>
        <v>158</v>
      </c>
      <c r="Y34" s="35">
        <f t="shared" si="2"/>
        <v>59234100</v>
      </c>
      <c r="Z34" s="13">
        <f t="shared" si="2"/>
        <v>412</v>
      </c>
      <c r="AA34" s="35">
        <f t="shared" si="2"/>
        <v>89233400</v>
      </c>
      <c r="AB34" s="13">
        <f t="shared" si="2"/>
        <v>232</v>
      </c>
      <c r="AC34" s="35">
        <f t="shared" si="2"/>
        <v>47900770</v>
      </c>
      <c r="AD34" s="13">
        <f t="shared" si="2"/>
        <v>272</v>
      </c>
      <c r="AE34" s="35">
        <f t="shared" si="2"/>
        <v>58793030</v>
      </c>
      <c r="AF34" s="13">
        <f t="shared" si="2"/>
        <v>153</v>
      </c>
      <c r="AG34" s="35">
        <f t="shared" si="2"/>
        <v>29965360</v>
      </c>
    </row>
    <row r="35" spans="1:33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B35" s="2"/>
      <c r="AC35" s="2"/>
      <c r="AD35" s="2"/>
      <c r="AF35" s="2"/>
      <c r="AG35" s="2"/>
    </row>
  </sheetData>
  <mergeCells count="18">
    <mergeCell ref="A1:A3"/>
    <mergeCell ref="B1:C2"/>
    <mergeCell ref="D2:E2"/>
    <mergeCell ref="H2:I2"/>
    <mergeCell ref="J2:K2"/>
    <mergeCell ref="P2:Q2"/>
    <mergeCell ref="R2:S2"/>
    <mergeCell ref="AD2:AE2"/>
    <mergeCell ref="D1:AG1"/>
    <mergeCell ref="AF2:AG2"/>
    <mergeCell ref="Z2:AA2"/>
    <mergeCell ref="AB2:AC2"/>
    <mergeCell ref="T2:U2"/>
    <mergeCell ref="V2:W2"/>
    <mergeCell ref="X2:Y2"/>
    <mergeCell ref="L2:M2"/>
    <mergeCell ref="N2:O2"/>
    <mergeCell ref="F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43"/>
  <sheetViews>
    <sheetView zoomScaleNormal="100" workbookViewId="0">
      <selection activeCell="B9" sqref="B9:D9"/>
    </sheetView>
  </sheetViews>
  <sheetFormatPr defaultRowHeight="18.75" x14ac:dyDescent="0.25"/>
  <cols>
    <col min="1" max="1" width="4.28515625" style="1" bestFit="1" customWidth="1"/>
    <col min="2" max="2" width="26.28515625" bestFit="1" customWidth="1"/>
    <col min="3" max="3" width="12.7109375" style="21" bestFit="1" customWidth="1"/>
    <col min="4" max="4" width="25.7109375" bestFit="1" customWidth="1"/>
  </cols>
  <sheetData>
    <row r="2" spans="1:4" ht="74.25" customHeight="1" x14ac:dyDescent="0.25">
      <c r="A2" s="99" t="s">
        <v>44</v>
      </c>
      <c r="B2" s="100"/>
      <c r="C2" s="100"/>
      <c r="D2" s="101"/>
    </row>
    <row r="3" spans="1:4" x14ac:dyDescent="0.25">
      <c r="A3" s="19" t="s">
        <v>28</v>
      </c>
      <c r="B3" s="19" t="s">
        <v>22</v>
      </c>
      <c r="C3" s="20" t="s">
        <v>3</v>
      </c>
      <c r="D3" s="20" t="s">
        <v>4</v>
      </c>
    </row>
    <row r="4" spans="1:4" s="17" customFormat="1" x14ac:dyDescent="0.25">
      <c r="A4" s="22">
        <v>1</v>
      </c>
      <c r="B4" s="15" t="s">
        <v>24</v>
      </c>
      <c r="C4" s="16">
        <f>Худудлар!H34</f>
        <v>1251</v>
      </c>
      <c r="D4" s="16">
        <f>Худудлар!I34</f>
        <v>305409040</v>
      </c>
    </row>
    <row r="5" spans="1:4" s="17" customFormat="1" x14ac:dyDescent="0.25">
      <c r="A5" s="22">
        <v>2</v>
      </c>
      <c r="B5" s="15" t="s">
        <v>8</v>
      </c>
      <c r="C5" s="16">
        <f>Худудлар!L34</f>
        <v>846</v>
      </c>
      <c r="D5" s="16">
        <f>Худудлар!M34</f>
        <v>237115560</v>
      </c>
    </row>
    <row r="6" spans="1:4" s="17" customFormat="1" x14ac:dyDescent="0.25">
      <c r="A6" s="22">
        <v>3</v>
      </c>
      <c r="B6" s="15" t="s">
        <v>23</v>
      </c>
      <c r="C6" s="16">
        <f>Худудлар!D34</f>
        <v>362</v>
      </c>
      <c r="D6" s="16">
        <f>Худудлар!E34</f>
        <v>109026850</v>
      </c>
    </row>
    <row r="7" spans="1:4" s="17" customFormat="1" x14ac:dyDescent="0.25">
      <c r="A7" s="22">
        <v>4</v>
      </c>
      <c r="B7" s="15" t="s">
        <v>21</v>
      </c>
      <c r="C7" s="16">
        <f>Худудлар!F34</f>
        <v>398</v>
      </c>
      <c r="D7" s="16">
        <f>Худудлар!G34</f>
        <v>106133150</v>
      </c>
    </row>
    <row r="8" spans="1:4" s="17" customFormat="1" x14ac:dyDescent="0.25">
      <c r="A8" s="22">
        <v>5</v>
      </c>
      <c r="B8" s="15" t="s">
        <v>15</v>
      </c>
      <c r="C8" s="16">
        <f>Худудлар!Z34</f>
        <v>412</v>
      </c>
      <c r="D8" s="16">
        <f>Худудлар!AA34</f>
        <v>89233400</v>
      </c>
    </row>
    <row r="9" spans="1:4" s="17" customFormat="1" x14ac:dyDescent="0.25">
      <c r="A9" s="22">
        <v>6</v>
      </c>
      <c r="B9" s="15" t="s">
        <v>9</v>
      </c>
      <c r="C9" s="16">
        <f>Худудлар!N34</f>
        <v>232</v>
      </c>
      <c r="D9" s="16">
        <f>Худудлар!O34</f>
        <v>89055210</v>
      </c>
    </row>
    <row r="10" spans="1:4" s="17" customFormat="1" x14ac:dyDescent="0.25">
      <c r="A10" s="22">
        <v>7</v>
      </c>
      <c r="B10" s="15" t="s">
        <v>12</v>
      </c>
      <c r="C10" s="16">
        <f>Худудлар!T34</f>
        <v>366</v>
      </c>
      <c r="D10" s="16">
        <f>Худудлар!U34</f>
        <v>84209810</v>
      </c>
    </row>
    <row r="11" spans="1:4" s="17" customFormat="1" x14ac:dyDescent="0.25">
      <c r="A11" s="22">
        <v>8</v>
      </c>
      <c r="B11" s="15" t="s">
        <v>27</v>
      </c>
      <c r="C11" s="16">
        <f>Худудлар!V34</f>
        <v>333</v>
      </c>
      <c r="D11" s="16">
        <f>Худудлар!W34</f>
        <v>73708360</v>
      </c>
    </row>
    <row r="12" spans="1:4" s="17" customFormat="1" x14ac:dyDescent="0.25">
      <c r="A12" s="22">
        <v>9</v>
      </c>
      <c r="B12" s="15" t="s">
        <v>26</v>
      </c>
      <c r="C12" s="16">
        <f>Худудлар!X34</f>
        <v>158</v>
      </c>
      <c r="D12" s="16">
        <f>Худудлар!Y34</f>
        <v>59234100</v>
      </c>
    </row>
    <row r="13" spans="1:4" s="17" customFormat="1" x14ac:dyDescent="0.25">
      <c r="A13" s="22">
        <v>10</v>
      </c>
      <c r="B13" s="15" t="s">
        <v>17</v>
      </c>
      <c r="C13" s="16">
        <f>Худудлар!AD34</f>
        <v>272</v>
      </c>
      <c r="D13" s="16">
        <f>Худудлар!AE34</f>
        <v>58793030</v>
      </c>
    </row>
    <row r="14" spans="1:4" s="17" customFormat="1" x14ac:dyDescent="0.25">
      <c r="A14" s="22">
        <v>11</v>
      </c>
      <c r="B14" s="15" t="s">
        <v>25</v>
      </c>
      <c r="C14" s="16">
        <f>Худудлар!P34</f>
        <v>188</v>
      </c>
      <c r="D14" s="16">
        <f>Худудлар!Q34</f>
        <v>53910560</v>
      </c>
    </row>
    <row r="15" spans="1:4" s="17" customFormat="1" x14ac:dyDescent="0.25">
      <c r="A15" s="22">
        <v>12</v>
      </c>
      <c r="B15" s="15" t="s">
        <v>16</v>
      </c>
      <c r="C15" s="16">
        <f>Худудлар!AB34</f>
        <v>232</v>
      </c>
      <c r="D15" s="16">
        <f>Худудлар!AC34</f>
        <v>47900770</v>
      </c>
    </row>
    <row r="16" spans="1:4" s="17" customFormat="1" x14ac:dyDescent="0.25">
      <c r="A16" s="22">
        <v>13</v>
      </c>
      <c r="B16" s="15" t="s">
        <v>18</v>
      </c>
      <c r="C16" s="16">
        <f>Худудлар!AF34</f>
        <v>153</v>
      </c>
      <c r="D16" s="16">
        <f>Худудлар!AG34</f>
        <v>29965360</v>
      </c>
    </row>
    <row r="17" spans="1:4" s="17" customFormat="1" x14ac:dyDescent="0.25">
      <c r="A17" s="22">
        <v>14</v>
      </c>
      <c r="B17" s="18" t="s">
        <v>11</v>
      </c>
      <c r="C17" s="16">
        <f>Худудлар!R34</f>
        <v>70</v>
      </c>
      <c r="D17" s="16">
        <f>Худудлар!S34</f>
        <v>19113270</v>
      </c>
    </row>
    <row r="18" spans="1:4" x14ac:dyDescent="0.25">
      <c r="A18" s="22">
        <v>15</v>
      </c>
      <c r="B18" s="34" t="s">
        <v>7</v>
      </c>
      <c r="C18" s="16">
        <f>Худудлар!J34</f>
        <v>15</v>
      </c>
      <c r="D18" s="16">
        <f>Худудлар!K34</f>
        <v>4161890</v>
      </c>
    </row>
    <row r="19" spans="1:4" x14ac:dyDescent="0.25">
      <c r="A19" s="22"/>
      <c r="B19" s="34"/>
      <c r="C19" s="16"/>
      <c r="D19" s="16"/>
    </row>
    <row r="20" spans="1:4" ht="20.25" x14ac:dyDescent="0.3">
      <c r="A20" s="33" t="s">
        <v>29</v>
      </c>
      <c r="B20" s="33"/>
      <c r="C20" s="30">
        <f>SUM(C4:C18)</f>
        <v>5288</v>
      </c>
      <c r="D20" s="31">
        <f>SUM(D4:D18)</f>
        <v>1366970360</v>
      </c>
    </row>
    <row r="21" spans="1:4" ht="20.25" x14ac:dyDescent="0.3">
      <c r="A21" s="70"/>
      <c r="B21" s="70"/>
      <c r="C21" s="71"/>
      <c r="D21" s="72"/>
    </row>
    <row r="22" spans="1:4" ht="20.25" x14ac:dyDescent="0.3">
      <c r="A22" s="70"/>
      <c r="B22" s="70"/>
      <c r="C22" s="71"/>
      <c r="D22" s="72"/>
    </row>
    <row r="23" spans="1:4" ht="20.25" x14ac:dyDescent="0.3">
      <c r="A23" s="70"/>
      <c r="B23" s="70"/>
      <c r="C23" s="71"/>
      <c r="D23" s="72"/>
    </row>
    <row r="24" spans="1:4" s="17" customFormat="1" ht="15" x14ac:dyDescent="0.25"/>
    <row r="25" spans="1:4" ht="73.5" customHeight="1" x14ac:dyDescent="0.25">
      <c r="A25" s="99" t="s">
        <v>45</v>
      </c>
      <c r="B25" s="100"/>
      <c r="C25" s="100"/>
      <c r="D25" s="101"/>
    </row>
    <row r="26" spans="1:4" ht="43.5" customHeight="1" x14ac:dyDescent="0.25">
      <c r="A26" s="19" t="s">
        <v>28</v>
      </c>
      <c r="B26" s="19" t="s">
        <v>22</v>
      </c>
      <c r="C26" s="20" t="s">
        <v>3</v>
      </c>
      <c r="D26" s="20" t="s">
        <v>4</v>
      </c>
    </row>
    <row r="27" spans="1:4" x14ac:dyDescent="0.25">
      <c r="A27" s="22">
        <v>1</v>
      </c>
      <c r="B27" s="15" t="s">
        <v>24</v>
      </c>
      <c r="C27" s="16">
        <f>Худудлар!H34</f>
        <v>1251</v>
      </c>
      <c r="D27" s="16">
        <f>Худудлар!I34</f>
        <v>305409040</v>
      </c>
    </row>
    <row r="28" spans="1:4" x14ac:dyDescent="0.25">
      <c r="A28" s="22">
        <v>2</v>
      </c>
      <c r="B28" s="15" t="s">
        <v>8</v>
      </c>
      <c r="C28" s="16">
        <f>Худудлар!L34</f>
        <v>846</v>
      </c>
      <c r="D28" s="16">
        <f>Худудлар!M34</f>
        <v>237115560</v>
      </c>
    </row>
    <row r="29" spans="1:4" x14ac:dyDescent="0.25">
      <c r="A29" s="22">
        <v>3</v>
      </c>
      <c r="B29" s="15" t="s">
        <v>15</v>
      </c>
      <c r="C29" s="16">
        <f>Худудлар!Z34</f>
        <v>412</v>
      </c>
      <c r="D29" s="16">
        <f>Худудлар!AA34</f>
        <v>89233400</v>
      </c>
    </row>
    <row r="30" spans="1:4" x14ac:dyDescent="0.25">
      <c r="A30" s="22">
        <v>4</v>
      </c>
      <c r="B30" s="15" t="s">
        <v>21</v>
      </c>
      <c r="C30" s="16">
        <f>Худудлар!F34</f>
        <v>398</v>
      </c>
      <c r="D30" s="16">
        <f>Худудлар!G34</f>
        <v>106133150</v>
      </c>
    </row>
    <row r="31" spans="1:4" x14ac:dyDescent="0.25">
      <c r="A31" s="22">
        <v>5</v>
      </c>
      <c r="B31" s="15" t="s">
        <v>12</v>
      </c>
      <c r="C31" s="16">
        <f>Худудлар!T34</f>
        <v>366</v>
      </c>
      <c r="D31" s="16">
        <f>Худудлар!U34</f>
        <v>84209810</v>
      </c>
    </row>
    <row r="32" spans="1:4" x14ac:dyDescent="0.25">
      <c r="A32" s="22">
        <v>6</v>
      </c>
      <c r="B32" s="15" t="s">
        <v>23</v>
      </c>
      <c r="C32" s="16">
        <f>Худудлар!D34</f>
        <v>362</v>
      </c>
      <c r="D32" s="16">
        <f>Худудлар!E34</f>
        <v>109026850</v>
      </c>
    </row>
    <row r="33" spans="1:4" x14ac:dyDescent="0.25">
      <c r="A33" s="22">
        <v>7</v>
      </c>
      <c r="B33" s="15" t="s">
        <v>27</v>
      </c>
      <c r="C33" s="16">
        <f>Худудлар!V34</f>
        <v>333</v>
      </c>
      <c r="D33" s="16">
        <f>Худудлар!W34</f>
        <v>73708360</v>
      </c>
    </row>
    <row r="34" spans="1:4" x14ac:dyDescent="0.25">
      <c r="A34" s="22">
        <v>8</v>
      </c>
      <c r="B34" s="15" t="s">
        <v>17</v>
      </c>
      <c r="C34" s="16">
        <f>Худудлар!AD34</f>
        <v>272</v>
      </c>
      <c r="D34" s="16">
        <f>Худудлар!AE34</f>
        <v>58793030</v>
      </c>
    </row>
    <row r="35" spans="1:4" x14ac:dyDescent="0.25">
      <c r="A35" s="22">
        <v>9</v>
      </c>
      <c r="B35" s="15" t="s">
        <v>16</v>
      </c>
      <c r="C35" s="16">
        <f>Худудлар!AB34</f>
        <v>232</v>
      </c>
      <c r="D35" s="16">
        <f>Худудлар!AC34</f>
        <v>47900770</v>
      </c>
    </row>
    <row r="36" spans="1:4" x14ac:dyDescent="0.25">
      <c r="A36" s="22">
        <v>10</v>
      </c>
      <c r="B36" s="15" t="s">
        <v>9</v>
      </c>
      <c r="C36" s="16">
        <f>Худудлар!N34</f>
        <v>232</v>
      </c>
      <c r="D36" s="16">
        <f>Худудлар!O34</f>
        <v>89055210</v>
      </c>
    </row>
    <row r="37" spans="1:4" x14ac:dyDescent="0.25">
      <c r="A37" s="22">
        <v>11</v>
      </c>
      <c r="B37" s="15" t="s">
        <v>25</v>
      </c>
      <c r="C37" s="16">
        <f>Худудлар!P34</f>
        <v>188</v>
      </c>
      <c r="D37" s="16">
        <f>Худудлар!Q34</f>
        <v>53910560</v>
      </c>
    </row>
    <row r="38" spans="1:4" x14ac:dyDescent="0.25">
      <c r="A38" s="22">
        <v>12</v>
      </c>
      <c r="B38" s="15" t="s">
        <v>26</v>
      </c>
      <c r="C38" s="16">
        <f>Худудлар!X34</f>
        <v>158</v>
      </c>
      <c r="D38" s="16">
        <f>Худудлар!Y34</f>
        <v>59234100</v>
      </c>
    </row>
    <row r="39" spans="1:4" x14ac:dyDescent="0.25">
      <c r="A39" s="22">
        <v>13</v>
      </c>
      <c r="B39" s="18" t="s">
        <v>18</v>
      </c>
      <c r="C39" s="16">
        <f>Худудлар!AF34</f>
        <v>153</v>
      </c>
      <c r="D39" s="16">
        <f>Худудлар!AG34</f>
        <v>29965360</v>
      </c>
    </row>
    <row r="40" spans="1:4" x14ac:dyDescent="0.25">
      <c r="A40" s="22">
        <v>14</v>
      </c>
      <c r="B40" s="15" t="s">
        <v>11</v>
      </c>
      <c r="C40" s="16">
        <f>Худудлар!R34</f>
        <v>70</v>
      </c>
      <c r="D40" s="16">
        <f>Худудлар!S34</f>
        <v>19113270</v>
      </c>
    </row>
    <row r="41" spans="1:4" x14ac:dyDescent="0.25">
      <c r="A41" s="22">
        <v>15</v>
      </c>
      <c r="B41" s="15" t="s">
        <v>7</v>
      </c>
      <c r="C41" s="16">
        <f>Худудлар!J34</f>
        <v>15</v>
      </c>
      <c r="D41" s="16">
        <f>Худудлар!K34</f>
        <v>4161890</v>
      </c>
    </row>
    <row r="42" spans="1:4" x14ac:dyDescent="0.25">
      <c r="A42" s="22"/>
      <c r="B42" s="15"/>
      <c r="C42" s="16"/>
      <c r="D42" s="16"/>
    </row>
    <row r="43" spans="1:4" ht="20.25" x14ac:dyDescent="0.3">
      <c r="A43" s="32" t="s">
        <v>29</v>
      </c>
      <c r="B43" s="29"/>
      <c r="C43" s="30">
        <f>SUM(C27:C41)</f>
        <v>5288</v>
      </c>
      <c r="D43" s="31">
        <f>SUM(D27:D41)</f>
        <v>1366970360</v>
      </c>
    </row>
  </sheetData>
  <sortState xmlns:xlrd2="http://schemas.microsoft.com/office/spreadsheetml/2017/richdata2" ref="A27:D41">
    <sortCondition descending="1" ref="C27:C41"/>
  </sortState>
  <mergeCells count="2">
    <mergeCell ref="A2:D2"/>
    <mergeCell ref="A25:D2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6"/>
  <sheetViews>
    <sheetView topLeftCell="H1" zoomScale="85" zoomScaleNormal="85" workbookViewId="0">
      <selection activeCell="B9" sqref="B9:AE9"/>
    </sheetView>
  </sheetViews>
  <sheetFormatPr defaultRowHeight="15" x14ac:dyDescent="0.25"/>
  <cols>
    <col min="1" max="1" width="13.140625" customWidth="1"/>
    <col min="2" max="2" width="9.85546875" bestFit="1" customWidth="1"/>
    <col min="3" max="3" width="18" bestFit="1" customWidth="1"/>
    <col min="4" max="4" width="9.85546875" bestFit="1" customWidth="1"/>
    <col min="5" max="5" width="18" bestFit="1" customWidth="1"/>
    <col min="6" max="6" width="9.85546875" bestFit="1" customWidth="1"/>
    <col min="7" max="7" width="20.140625" bestFit="1" customWidth="1"/>
    <col min="8" max="8" width="7.85546875" bestFit="1" customWidth="1"/>
    <col min="9" max="9" width="16.42578125" bestFit="1" customWidth="1"/>
    <col min="10" max="10" width="9.85546875" bestFit="1" customWidth="1"/>
    <col min="11" max="11" width="18" bestFit="1" customWidth="1"/>
    <col min="12" max="12" width="7.85546875" bestFit="1" customWidth="1"/>
    <col min="13" max="13" width="18" bestFit="1" customWidth="1"/>
    <col min="14" max="14" width="7.85546875" bestFit="1" customWidth="1"/>
    <col min="15" max="15" width="18" bestFit="1" customWidth="1"/>
    <col min="16" max="16" width="7.85546875" bestFit="1" customWidth="1"/>
    <col min="17" max="17" width="16.42578125" bestFit="1" customWidth="1"/>
    <col min="18" max="18" width="7.85546875" bestFit="1" customWidth="1"/>
    <col min="19" max="19" width="18" bestFit="1" customWidth="1"/>
    <col min="20" max="20" width="7.85546875" bestFit="1" customWidth="1"/>
    <col min="21" max="21" width="18" bestFit="1" customWidth="1"/>
    <col min="22" max="22" width="7.85546875" bestFit="1" customWidth="1"/>
    <col min="23" max="23" width="18" bestFit="1" customWidth="1"/>
    <col min="24" max="24" width="9.85546875" bestFit="1" customWidth="1"/>
    <col min="25" max="25" width="18" bestFit="1" customWidth="1"/>
    <col min="26" max="26" width="7.85546875" bestFit="1" customWidth="1"/>
    <col min="27" max="27" width="18" bestFit="1" customWidth="1"/>
    <col min="28" max="28" width="9.85546875" bestFit="1" customWidth="1"/>
    <col min="29" max="29" width="18" bestFit="1" customWidth="1"/>
    <col min="30" max="30" width="7.85546875" bestFit="1" customWidth="1"/>
    <col min="31" max="31" width="16.42578125" bestFit="1" customWidth="1"/>
  </cols>
  <sheetData>
    <row r="1" spans="1:31" ht="44.25" customHeight="1" x14ac:dyDescent="0.25">
      <c r="A1" s="103" t="s">
        <v>30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.75" x14ac:dyDescent="0.3">
      <c r="A2" s="104" t="s">
        <v>22</v>
      </c>
      <c r="B2" s="104" t="s">
        <v>20</v>
      </c>
      <c r="C2" s="104"/>
      <c r="D2" s="104" t="s">
        <v>21</v>
      </c>
      <c r="E2" s="104"/>
      <c r="F2" s="104" t="s">
        <v>6</v>
      </c>
      <c r="G2" s="104"/>
      <c r="H2" s="104" t="s">
        <v>7</v>
      </c>
      <c r="I2" s="104"/>
      <c r="J2" s="104" t="s">
        <v>8</v>
      </c>
      <c r="K2" s="104"/>
      <c r="L2" s="104" t="s">
        <v>9</v>
      </c>
      <c r="M2" s="104"/>
      <c r="N2" s="104" t="s">
        <v>10</v>
      </c>
      <c r="O2" s="104"/>
      <c r="P2" s="104" t="s">
        <v>11</v>
      </c>
      <c r="Q2" s="104"/>
      <c r="R2" s="104" t="s">
        <v>12</v>
      </c>
      <c r="S2" s="104"/>
      <c r="T2" s="102" t="s">
        <v>13</v>
      </c>
      <c r="U2" s="102"/>
      <c r="V2" s="102" t="s">
        <v>14</v>
      </c>
      <c r="W2" s="102"/>
      <c r="X2" s="102" t="s">
        <v>15</v>
      </c>
      <c r="Y2" s="102"/>
      <c r="Z2" s="102" t="s">
        <v>16</v>
      </c>
      <c r="AA2" s="102"/>
      <c r="AB2" s="102" t="s">
        <v>17</v>
      </c>
      <c r="AC2" s="102"/>
      <c r="AD2" s="102" t="s">
        <v>18</v>
      </c>
      <c r="AE2" s="102"/>
    </row>
    <row r="3" spans="1:31" ht="18.75" x14ac:dyDescent="0.3">
      <c r="A3" s="104"/>
      <c r="B3" s="58" t="s">
        <v>3</v>
      </c>
      <c r="C3" s="58" t="s">
        <v>4</v>
      </c>
      <c r="D3" s="58" t="s">
        <v>3</v>
      </c>
      <c r="E3" s="58" t="s">
        <v>4</v>
      </c>
      <c r="F3" s="58" t="s">
        <v>3</v>
      </c>
      <c r="G3" s="58" t="s">
        <v>4</v>
      </c>
      <c r="H3" s="58" t="s">
        <v>3</v>
      </c>
      <c r="I3" s="58" t="s">
        <v>4</v>
      </c>
      <c r="J3" s="58" t="s">
        <v>3</v>
      </c>
      <c r="K3" s="58" t="s">
        <v>4</v>
      </c>
      <c r="L3" s="58" t="s">
        <v>3</v>
      </c>
      <c r="M3" s="58" t="s">
        <v>4</v>
      </c>
      <c r="N3" s="58" t="s">
        <v>3</v>
      </c>
      <c r="O3" s="58" t="s">
        <v>4</v>
      </c>
      <c r="P3" s="58" t="s">
        <v>3</v>
      </c>
      <c r="Q3" s="58" t="s">
        <v>4</v>
      </c>
      <c r="R3" s="58" t="s">
        <v>3</v>
      </c>
      <c r="S3" s="58" t="s">
        <v>4</v>
      </c>
      <c r="T3" s="58" t="s">
        <v>3</v>
      </c>
      <c r="U3" s="58" t="s">
        <v>4</v>
      </c>
      <c r="V3" s="58" t="s">
        <v>3</v>
      </c>
      <c r="W3" s="58" t="s">
        <v>4</v>
      </c>
      <c r="X3" s="58" t="s">
        <v>3</v>
      </c>
      <c r="Y3" s="58" t="s">
        <v>4</v>
      </c>
      <c r="Z3" s="58" t="s">
        <v>3</v>
      </c>
      <c r="AA3" s="58" t="s">
        <v>4</v>
      </c>
      <c r="AB3" s="58" t="s">
        <v>3</v>
      </c>
      <c r="AC3" s="58" t="s">
        <v>4</v>
      </c>
      <c r="AD3" s="58" t="s">
        <v>3</v>
      </c>
      <c r="AE3" s="58" t="s">
        <v>4</v>
      </c>
    </row>
    <row r="4" spans="1:31" ht="18.75" x14ac:dyDescent="0.3">
      <c r="A4" s="22" t="s">
        <v>31</v>
      </c>
      <c r="B4" s="59">
        <v>393</v>
      </c>
      <c r="C4" s="59">
        <v>128161410</v>
      </c>
      <c r="D4" s="59">
        <v>159</v>
      </c>
      <c r="E4" s="59">
        <v>54581230</v>
      </c>
      <c r="F4" s="59">
        <v>573</v>
      </c>
      <c r="G4" s="59">
        <v>127638850</v>
      </c>
      <c r="H4" s="59">
        <v>60</v>
      </c>
      <c r="I4" s="59">
        <v>11090840</v>
      </c>
      <c r="J4" s="59">
        <v>68</v>
      </c>
      <c r="K4" s="59">
        <v>14072500</v>
      </c>
      <c r="L4" s="59">
        <v>212</v>
      </c>
      <c r="M4" s="59">
        <v>75296380</v>
      </c>
      <c r="N4" s="59">
        <v>90</v>
      </c>
      <c r="O4" s="59">
        <v>21169260</v>
      </c>
      <c r="P4" s="59">
        <v>40</v>
      </c>
      <c r="Q4" s="59">
        <v>10032280</v>
      </c>
      <c r="R4" s="59">
        <v>144</v>
      </c>
      <c r="S4" s="59">
        <v>29875380</v>
      </c>
      <c r="T4" s="59">
        <v>142</v>
      </c>
      <c r="U4" s="59">
        <v>29047220</v>
      </c>
      <c r="V4" s="59">
        <v>6</v>
      </c>
      <c r="W4" s="59">
        <v>2519510</v>
      </c>
      <c r="X4" s="59">
        <v>111</v>
      </c>
      <c r="Y4" s="59">
        <v>23775260</v>
      </c>
      <c r="Z4" s="59">
        <v>81</v>
      </c>
      <c r="AA4" s="59">
        <v>18504850</v>
      </c>
      <c r="AB4" s="59">
        <v>432</v>
      </c>
      <c r="AC4" s="59">
        <v>145134680</v>
      </c>
      <c r="AD4" s="59">
        <v>93</v>
      </c>
      <c r="AE4" s="59">
        <v>20428840</v>
      </c>
    </row>
    <row r="5" spans="1:31" ht="18.75" x14ac:dyDescent="0.3">
      <c r="A5" s="22" t="s">
        <v>32</v>
      </c>
      <c r="B5" s="59">
        <v>280</v>
      </c>
      <c r="C5" s="59">
        <v>84371130</v>
      </c>
      <c r="D5" s="59">
        <v>69</v>
      </c>
      <c r="E5" s="59">
        <v>20794540</v>
      </c>
      <c r="F5" s="59">
        <v>945</v>
      </c>
      <c r="G5" s="59">
        <v>224851440</v>
      </c>
      <c r="H5" s="59">
        <v>15</v>
      </c>
      <c r="I5" s="59">
        <v>3582380</v>
      </c>
      <c r="J5" s="59">
        <v>38</v>
      </c>
      <c r="K5" s="59">
        <v>8572500</v>
      </c>
      <c r="L5" s="59">
        <v>82</v>
      </c>
      <c r="M5" s="59">
        <v>28047020</v>
      </c>
      <c r="N5" s="59">
        <v>95</v>
      </c>
      <c r="O5" s="59">
        <v>23630330</v>
      </c>
      <c r="P5" s="59">
        <v>37</v>
      </c>
      <c r="Q5" s="59">
        <v>8684810</v>
      </c>
      <c r="R5" s="59">
        <v>50</v>
      </c>
      <c r="S5" s="59">
        <v>11934960</v>
      </c>
      <c r="T5" s="59">
        <v>205</v>
      </c>
      <c r="U5" s="59">
        <v>49185120</v>
      </c>
      <c r="V5" s="59">
        <v>3</v>
      </c>
      <c r="W5" s="59">
        <v>998990</v>
      </c>
      <c r="X5" s="59">
        <v>142</v>
      </c>
      <c r="Y5" s="59">
        <v>29655970</v>
      </c>
      <c r="Z5" s="59">
        <v>183</v>
      </c>
      <c r="AA5" s="59">
        <v>47086220</v>
      </c>
      <c r="AB5" s="59">
        <v>475</v>
      </c>
      <c r="AC5" s="59">
        <v>156561430</v>
      </c>
      <c r="AD5" s="59">
        <v>35</v>
      </c>
      <c r="AE5" s="59">
        <v>8078000</v>
      </c>
    </row>
    <row r="6" spans="1:31" ht="18.75" x14ac:dyDescent="0.3">
      <c r="A6" s="22" t="s">
        <v>33</v>
      </c>
      <c r="B6" s="59">
        <f>[1]Худудлар!D35</f>
        <v>300</v>
      </c>
      <c r="C6" s="59">
        <f>[1]Худудлар!E35</f>
        <v>85370650</v>
      </c>
      <c r="D6" s="59">
        <f>[1]Худудлар!F35</f>
        <v>39</v>
      </c>
      <c r="E6" s="59">
        <f>[1]Худудлар!G35</f>
        <v>10019510</v>
      </c>
      <c r="F6" s="59">
        <f>[1]Худудлар!H35</f>
        <v>454</v>
      </c>
      <c r="G6" s="59">
        <f>[1]Худудлар!I35</f>
        <v>103382420</v>
      </c>
      <c r="H6" s="59">
        <f>[1]Худудлар!J35</f>
        <v>8</v>
      </c>
      <c r="I6" s="59">
        <f>[1]Худудлар!K35</f>
        <v>1819320</v>
      </c>
      <c r="J6" s="59">
        <f>[1]Худудлар!L35</f>
        <v>68</v>
      </c>
      <c r="K6" s="59">
        <f>[1]Худудлар!M35</f>
        <v>19585380</v>
      </c>
      <c r="L6" s="59">
        <f>[1]Худудлар!N35</f>
        <v>101</v>
      </c>
      <c r="M6" s="59">
        <f>[1]Худудлар!O35</f>
        <v>29188810</v>
      </c>
      <c r="N6" s="59">
        <f>[1]Худудлар!P35</f>
        <v>50</v>
      </c>
      <c r="O6" s="59">
        <f>[1]Худудлар!Q35</f>
        <v>13512240</v>
      </c>
      <c r="P6" s="59">
        <f>[1]Худудлар!R35</f>
        <v>8</v>
      </c>
      <c r="Q6" s="59">
        <f>[1]Худудлар!S35</f>
        <v>1863550</v>
      </c>
      <c r="R6" s="59">
        <f>[1]Худудлар!T35</f>
        <v>86</v>
      </c>
      <c r="S6" s="59">
        <f>[1]Худудлар!U35</f>
        <v>22192230</v>
      </c>
      <c r="T6" s="59">
        <f>[1]Худудлар!V35</f>
        <v>73</v>
      </c>
      <c r="U6" s="59">
        <f>[1]Худудлар!W35</f>
        <v>17464110</v>
      </c>
      <c r="V6" s="59">
        <f>[1]Худудлар!X35</f>
        <v>1</v>
      </c>
      <c r="W6" s="59">
        <f>[1]Худудлар!Y35</f>
        <v>258610</v>
      </c>
      <c r="X6" s="59">
        <f>[1]Худудлар!Z35</f>
        <v>86</v>
      </c>
      <c r="Y6" s="59">
        <f>[1]Худудлар!AA35</f>
        <v>17664210</v>
      </c>
      <c r="Z6" s="59">
        <f>[1]Худудлар!AB35</f>
        <v>43</v>
      </c>
      <c r="AA6" s="59">
        <f>[1]Худудлар!AC35</f>
        <v>20516590</v>
      </c>
      <c r="AB6" s="59">
        <f>[1]Худудлар!AD35</f>
        <v>179</v>
      </c>
      <c r="AC6" s="59">
        <f>[1]Худудлар!AE35</f>
        <v>60364140</v>
      </c>
      <c r="AD6" s="59">
        <f>[1]Худудлар!AF35</f>
        <v>20</v>
      </c>
      <c r="AE6" s="59">
        <f>[1]Худудлар!AG35</f>
        <v>4075890</v>
      </c>
    </row>
    <row r="7" spans="1:31" ht="18.75" x14ac:dyDescent="0.3">
      <c r="A7" s="22" t="s">
        <v>34</v>
      </c>
      <c r="B7" s="59">
        <f>Худудлар!D34</f>
        <v>362</v>
      </c>
      <c r="C7" s="59">
        <f>Худудлар!E34</f>
        <v>109026850</v>
      </c>
      <c r="D7" s="59">
        <f>Худудлар!F34</f>
        <v>398</v>
      </c>
      <c r="E7" s="59">
        <f>Худудлар!G34</f>
        <v>106133150</v>
      </c>
      <c r="F7" s="59">
        <f>Худудлар!H34</f>
        <v>1251</v>
      </c>
      <c r="G7" s="59">
        <f>Худудлар!I34</f>
        <v>305409040</v>
      </c>
      <c r="H7" s="59">
        <f>Худудлар!J34</f>
        <v>15</v>
      </c>
      <c r="I7" s="59">
        <f>Худудлар!K34</f>
        <v>4161890</v>
      </c>
      <c r="J7" s="59">
        <f>Худудлар!L34</f>
        <v>846</v>
      </c>
      <c r="K7" s="59">
        <f>Худудлар!M34</f>
        <v>237115560</v>
      </c>
      <c r="L7" s="59">
        <f>Худудлар!N34</f>
        <v>232</v>
      </c>
      <c r="M7" s="59">
        <f>Худудлар!O34</f>
        <v>89055210</v>
      </c>
      <c r="N7" s="59">
        <f>Худудлар!P34</f>
        <v>188</v>
      </c>
      <c r="O7" s="59">
        <f>Худудлар!Q34</f>
        <v>53910560</v>
      </c>
      <c r="P7" s="59">
        <f>Худудлар!R34</f>
        <v>70</v>
      </c>
      <c r="Q7" s="59">
        <f>Худудлар!S34</f>
        <v>19113270</v>
      </c>
      <c r="R7" s="59">
        <f>Худудлар!T34</f>
        <v>366</v>
      </c>
      <c r="S7" s="59">
        <f>Худудлар!U34</f>
        <v>84209810</v>
      </c>
      <c r="T7" s="59">
        <f>Худудлар!V34</f>
        <v>333</v>
      </c>
      <c r="U7" s="59">
        <f>Худудлар!W34</f>
        <v>73708360</v>
      </c>
      <c r="V7" s="59">
        <f>Худудлар!X34</f>
        <v>158</v>
      </c>
      <c r="W7" s="59">
        <f>Худудлар!Y34</f>
        <v>59234100</v>
      </c>
      <c r="X7" s="59">
        <f>Худудлар!Z34</f>
        <v>412</v>
      </c>
      <c r="Y7" s="59">
        <f>Худудлар!AA34</f>
        <v>89233400</v>
      </c>
      <c r="Z7" s="59">
        <f>Худудлар!AB34</f>
        <v>232</v>
      </c>
      <c r="AA7" s="59">
        <f>Худудлар!AC34</f>
        <v>47900770</v>
      </c>
      <c r="AB7" s="59">
        <f>Худудлар!AD34</f>
        <v>272</v>
      </c>
      <c r="AC7" s="59">
        <f>Худудлар!AE34</f>
        <v>58793030</v>
      </c>
      <c r="AD7" s="59">
        <f>Худудлар!AF34</f>
        <v>153</v>
      </c>
      <c r="AE7" s="59">
        <f>Худудлар!AG34</f>
        <v>29965360</v>
      </c>
    </row>
    <row r="8" spans="1:31" ht="18.75" x14ac:dyDescent="0.3">
      <c r="A8" s="22" t="s">
        <v>35</v>
      </c>
      <c r="B8" s="59">
        <v>371</v>
      </c>
      <c r="C8" s="59">
        <v>122824550</v>
      </c>
      <c r="D8" s="59">
        <v>91</v>
      </c>
      <c r="E8" s="59">
        <v>22632580</v>
      </c>
      <c r="F8" s="59">
        <v>856</v>
      </c>
      <c r="G8" s="59">
        <v>223402850</v>
      </c>
      <c r="H8" s="59">
        <v>20</v>
      </c>
      <c r="I8" s="59">
        <v>2955370</v>
      </c>
      <c r="J8" s="59">
        <v>423</v>
      </c>
      <c r="K8" s="59">
        <v>100384500</v>
      </c>
      <c r="L8" s="59">
        <v>180</v>
      </c>
      <c r="M8" s="59">
        <v>69428490</v>
      </c>
      <c r="N8" s="59">
        <v>53</v>
      </c>
      <c r="O8" s="59">
        <v>14303130</v>
      </c>
      <c r="P8" s="59">
        <v>43</v>
      </c>
      <c r="Q8" s="59">
        <v>8886550</v>
      </c>
      <c r="R8" s="59">
        <v>142</v>
      </c>
      <c r="S8" s="59">
        <v>29756940</v>
      </c>
      <c r="T8" s="59">
        <v>198</v>
      </c>
      <c r="U8" s="59">
        <v>46230660</v>
      </c>
      <c r="V8" s="59">
        <v>92</v>
      </c>
      <c r="W8" s="59">
        <v>43744620</v>
      </c>
      <c r="X8" s="59">
        <v>109</v>
      </c>
      <c r="Y8" s="59">
        <v>21501010</v>
      </c>
      <c r="Z8" s="59">
        <v>108</v>
      </c>
      <c r="AA8" s="59">
        <v>20383150</v>
      </c>
      <c r="AB8" s="59">
        <v>195</v>
      </c>
      <c r="AC8" s="59">
        <v>44705360</v>
      </c>
      <c r="AD8" s="59">
        <v>26</v>
      </c>
      <c r="AE8" s="59">
        <v>4135240</v>
      </c>
    </row>
    <row r="9" spans="1:31" ht="18.75" x14ac:dyDescent="0.3">
      <c r="A9" s="22" t="s">
        <v>36</v>
      </c>
      <c r="B9" s="59">
        <f>Худудлар!D34</f>
        <v>362</v>
      </c>
      <c r="C9" s="59">
        <f>Худудлар!E34</f>
        <v>109026850</v>
      </c>
      <c r="D9" s="59">
        <f>Худудлар!F34</f>
        <v>398</v>
      </c>
      <c r="E9" s="59">
        <f>Худудлар!G34</f>
        <v>106133150</v>
      </c>
      <c r="F9" s="59">
        <f>Худудлар!H34</f>
        <v>1251</v>
      </c>
      <c r="G9" s="59">
        <f>Худудлар!I34</f>
        <v>305409040</v>
      </c>
      <c r="H9" s="59">
        <f>Худудлар!J34</f>
        <v>15</v>
      </c>
      <c r="I9" s="59">
        <f>Худудлар!K34</f>
        <v>4161890</v>
      </c>
      <c r="J9" s="59">
        <f>Худудлар!L34</f>
        <v>846</v>
      </c>
      <c r="K9" s="59">
        <f>Худудлар!M34</f>
        <v>237115560</v>
      </c>
      <c r="L9" s="59">
        <f>Худудлар!N34</f>
        <v>232</v>
      </c>
      <c r="M9" s="59">
        <f>Худудлар!O34</f>
        <v>89055210</v>
      </c>
      <c r="N9" s="59">
        <f>Худудлар!P34</f>
        <v>188</v>
      </c>
      <c r="O9" s="59">
        <f>Худудлар!Q34</f>
        <v>53910560</v>
      </c>
      <c r="P9" s="59">
        <f>Худудлар!R34</f>
        <v>70</v>
      </c>
      <c r="Q9" s="59">
        <f>Худудлар!S34</f>
        <v>19113270</v>
      </c>
      <c r="R9" s="59">
        <f>Худудлар!T34</f>
        <v>366</v>
      </c>
      <c r="S9" s="59">
        <f>Худудлар!U34</f>
        <v>84209810</v>
      </c>
      <c r="T9" s="59">
        <f>Худудлар!V34</f>
        <v>333</v>
      </c>
      <c r="U9" s="59">
        <f>Худудлар!W34</f>
        <v>73708360</v>
      </c>
      <c r="V9" s="59">
        <f>Худудлар!X34</f>
        <v>158</v>
      </c>
      <c r="W9" s="59">
        <f>Худудлар!Y34</f>
        <v>59234100</v>
      </c>
      <c r="X9" s="59">
        <f>Худудлар!Z34</f>
        <v>412</v>
      </c>
      <c r="Y9" s="59">
        <f>Худудлар!AA34</f>
        <v>89233400</v>
      </c>
      <c r="Z9" s="59">
        <f>Худудлар!AB34</f>
        <v>232</v>
      </c>
      <c r="AA9" s="59">
        <f>Худудлар!AC34</f>
        <v>47900770</v>
      </c>
      <c r="AB9" s="59">
        <f>Худудлар!AD34</f>
        <v>272</v>
      </c>
      <c r="AC9" s="59">
        <f>Худудлар!AE34</f>
        <v>58793030</v>
      </c>
      <c r="AD9" s="59">
        <f>Худудлар!AF34</f>
        <v>153</v>
      </c>
      <c r="AE9" s="59">
        <f>Худудлар!AG34</f>
        <v>29965360</v>
      </c>
    </row>
    <row r="10" spans="1:31" ht="18.75" x14ac:dyDescent="0.3">
      <c r="A10" s="22" t="s">
        <v>37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</row>
    <row r="11" spans="1:31" ht="18.75" x14ac:dyDescent="0.3">
      <c r="A11" s="22" t="s">
        <v>38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</row>
    <row r="12" spans="1:31" ht="18.75" x14ac:dyDescent="0.3">
      <c r="A12" s="22" t="s">
        <v>39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</row>
    <row r="13" spans="1:31" ht="18.75" x14ac:dyDescent="0.3">
      <c r="A13" s="22" t="s">
        <v>40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</row>
    <row r="14" spans="1:31" ht="18.75" x14ac:dyDescent="0.3">
      <c r="A14" s="22" t="s">
        <v>41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</row>
    <row r="15" spans="1:31" ht="18.75" x14ac:dyDescent="0.3">
      <c r="A15" s="22" t="s">
        <v>42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 spans="1:31" ht="18.75" x14ac:dyDescent="0.3">
      <c r="A16" s="60" t="s">
        <v>1</v>
      </c>
      <c r="B16" s="61">
        <f>SUM(B4:B15)</f>
        <v>2068</v>
      </c>
      <c r="C16" s="61">
        <f t="shared" ref="C16:AE16" si="0">SUM(C4:C15)</f>
        <v>638781440</v>
      </c>
      <c r="D16" s="61">
        <f t="shared" si="0"/>
        <v>1154</v>
      </c>
      <c r="E16" s="61">
        <f t="shared" si="0"/>
        <v>320294160</v>
      </c>
      <c r="F16" s="61">
        <f t="shared" si="0"/>
        <v>5330</v>
      </c>
      <c r="G16" s="61">
        <f t="shared" si="0"/>
        <v>1290093640</v>
      </c>
      <c r="H16" s="61">
        <f t="shared" si="0"/>
        <v>133</v>
      </c>
      <c r="I16" s="61">
        <f t="shared" si="0"/>
        <v>27771690</v>
      </c>
      <c r="J16" s="61">
        <f t="shared" si="0"/>
        <v>2289</v>
      </c>
      <c r="K16" s="61">
        <f t="shared" si="0"/>
        <v>616846000</v>
      </c>
      <c r="L16" s="61">
        <f t="shared" si="0"/>
        <v>1039</v>
      </c>
      <c r="M16" s="61">
        <f t="shared" si="0"/>
        <v>380071120</v>
      </c>
      <c r="N16" s="61">
        <f t="shared" si="0"/>
        <v>664</v>
      </c>
      <c r="O16" s="61">
        <f t="shared" si="0"/>
        <v>180436080</v>
      </c>
      <c r="P16" s="61">
        <f t="shared" si="0"/>
        <v>268</v>
      </c>
      <c r="Q16" s="61">
        <f t="shared" si="0"/>
        <v>67693730</v>
      </c>
      <c r="R16" s="61">
        <f t="shared" si="0"/>
        <v>1154</v>
      </c>
      <c r="S16" s="61">
        <f t="shared" si="0"/>
        <v>262179130</v>
      </c>
      <c r="T16" s="61">
        <f t="shared" si="0"/>
        <v>1284</v>
      </c>
      <c r="U16" s="61">
        <f t="shared" si="0"/>
        <v>289343830</v>
      </c>
      <c r="V16" s="61">
        <f t="shared" si="0"/>
        <v>418</v>
      </c>
      <c r="W16" s="61">
        <f t="shared" si="0"/>
        <v>165989930</v>
      </c>
      <c r="X16" s="61">
        <f t="shared" si="0"/>
        <v>1272</v>
      </c>
      <c r="Y16" s="61">
        <f t="shared" si="0"/>
        <v>271063250</v>
      </c>
      <c r="Z16" s="61">
        <f t="shared" si="0"/>
        <v>879</v>
      </c>
      <c r="AA16" s="61">
        <f t="shared" si="0"/>
        <v>202292350</v>
      </c>
      <c r="AB16" s="61">
        <f t="shared" si="0"/>
        <v>1825</v>
      </c>
      <c r="AC16" s="61">
        <f t="shared" si="0"/>
        <v>524351670</v>
      </c>
      <c r="AD16" s="61">
        <f t="shared" si="0"/>
        <v>480</v>
      </c>
      <c r="AE16" s="61">
        <f t="shared" si="0"/>
        <v>96648690</v>
      </c>
    </row>
  </sheetData>
  <mergeCells count="17">
    <mergeCell ref="Z2:AA2"/>
    <mergeCell ref="AB2:AC2"/>
    <mergeCell ref="A1:AE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AD2:AE2"/>
    <mergeCell ref="R2:S2"/>
    <mergeCell ref="T2:U2"/>
    <mergeCell ref="V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Жами</vt:lpstr>
      <vt:lpstr>Худудлар</vt:lpstr>
      <vt:lpstr>Лист1</vt:lpstr>
      <vt:lpstr>Ойлар кесимида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2026-07-23T07:14:43Z</dcterms:modified>
</cp:coreProperties>
</file>