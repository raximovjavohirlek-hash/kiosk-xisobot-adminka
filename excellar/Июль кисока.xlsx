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Жами" sheetId="1" state="visible" r:id="rId1"/>
    <sheet xmlns:r="http://schemas.openxmlformats.org/officeDocument/2006/relationships" name="Худудлар" sheetId="2" state="visible" r:id="rId2"/>
    <sheet xmlns:r="http://schemas.openxmlformats.org/officeDocument/2006/relationships" name="Лист1" sheetId="3" state="visible" r:id="rId3"/>
    <sheet xmlns:r="http://schemas.openxmlformats.org/officeDocument/2006/relationships" name="Ойлар кесимида" sheetId="4" state="visible" r:id="rId4"/>
  </sheets>
  <externalReferences>
    <externalReference xmlns:r="http://schemas.openxmlformats.org/officeDocument/2006/relationships" r:id="rId5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\ _₽_-;\-* #,##0\ _₽_-;_-* &quot;-&quot;\ _₽_-;_-@_-"/>
    <numFmt numFmtId="165" formatCode="#,##0\ _₽"/>
  </numFmts>
  <fonts count="16">
    <font>
      <name val="Calibri"/>
      <family val="2"/>
      <color theme="1"/>
      <sz val="11"/>
      <scheme val="minor"/>
    </font>
    <font>
      <name val="Times New Roman"/>
      <charset val="204"/>
      <family val="1"/>
      <b val="1"/>
      <color theme="1"/>
      <sz val="16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rgb="FF212529"/>
      <sz val="12"/>
    </font>
    <font>
      <name val="Times New Roman"/>
      <charset val="204"/>
      <family val="1"/>
      <color theme="1"/>
      <sz val="14"/>
    </font>
    <font>
      <name val="Times New Roman"/>
      <charset val="204"/>
      <family val="1"/>
      <b val="1"/>
      <color theme="1"/>
      <sz val="18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Times New Roman"/>
      <charset val="204"/>
      <family val="1"/>
      <color rgb="FF000000"/>
      <sz val="12"/>
    </font>
    <font>
      <name val="Calibri"/>
      <family val="2"/>
      <color indexed="8"/>
      <sz val="11"/>
      <scheme val="minor"/>
    </font>
    <font>
      <name val="Times New Roman"/>
      <charset val="204"/>
      <family val="1"/>
      <b val="1"/>
      <color theme="1"/>
      <sz val="26"/>
    </font>
    <font>
      <name val="Times New Roman"/>
      <charset val="204"/>
      <family val="1"/>
      <b val="1"/>
      <color theme="1"/>
      <sz val="24"/>
    </font>
    <font>
      <name val="Times New Roman"/>
      <charset val="204"/>
      <family val="1"/>
      <b val="1"/>
      <color theme="1"/>
      <sz val="20"/>
    </font>
    <font>
      <name val="Times New Roman"/>
      <charset val="204"/>
      <family val="1"/>
      <b val="1"/>
      <color rgb="FF000000"/>
      <sz val="20"/>
    </font>
  </fonts>
  <fills count="9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theme="6" tint="0.5999938962981048"/>
        <bgColor indexed="64"/>
      </patternFill>
    </fill>
  </fills>
  <borders count="5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9" fillId="0" borderId="0"/>
    <xf numFmtId="0" fontId="8" fillId="0" borderId="0"/>
    <xf numFmtId="43" fontId="9" fillId="0" borderId="0"/>
    <xf numFmtId="0" fontId="11" fillId="0" borderId="0"/>
  </cellStyleXfs>
  <cellXfs count="128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4" fontId="2" fillId="0" borderId="11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165" fontId="4" fillId="0" borderId="16" applyAlignment="1" pivotButton="0" quotePrefix="0" xfId="0">
      <alignment horizontal="center" vertical="center"/>
    </xf>
    <xf numFmtId="164" fontId="6" fillId="0" borderId="6" applyAlignment="1" pivotButton="0" quotePrefix="0" xfId="0">
      <alignment horizontal="center" vertical="center"/>
    </xf>
    <xf numFmtId="164" fontId="6" fillId="0" borderId="7" applyAlignment="1" pivotButton="0" quotePrefix="0" xfId="0">
      <alignment horizontal="center" vertical="center"/>
    </xf>
    <xf numFmtId="165" fontId="4" fillId="0" borderId="17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164" fontId="2" fillId="3" borderId="3" applyAlignment="1" pivotButton="0" quotePrefix="0" xfId="0">
      <alignment horizontal="center" vertical="center"/>
    </xf>
    <xf numFmtId="164" fontId="7" fillId="5" borderId="13" applyAlignment="1" pivotButton="0" quotePrefix="0" xfId="0">
      <alignment horizontal="center" vertical="center"/>
    </xf>
    <xf numFmtId="164" fontId="0" fillId="0" borderId="0" pivotButton="0" quotePrefix="0" xfId="0"/>
    <xf numFmtId="0" fontId="3" fillId="6" borderId="28" applyAlignment="1" pivotButton="0" quotePrefix="0" xfId="0">
      <alignment horizontal="center" vertical="center"/>
    </xf>
    <xf numFmtId="164" fontId="6" fillId="0" borderId="28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/>
    </xf>
    <xf numFmtId="0" fontId="3" fillId="3" borderId="28" applyAlignment="1" pivotButton="0" quotePrefix="0" xfId="0">
      <alignment horizontal="center" vertical="center"/>
    </xf>
    <xf numFmtId="164" fontId="3" fillId="3" borderId="28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164" fontId="10" fillId="0" borderId="31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 wrapText="1"/>
    </xf>
    <xf numFmtId="0" fontId="3" fillId="2" borderId="20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 wrapText="1"/>
    </xf>
    <xf numFmtId="0" fontId="1" fillId="5" borderId="28" applyAlignment="1" pivotButton="0" quotePrefix="0" xfId="0">
      <alignment horizontal="center" vertical="center"/>
    </xf>
    <xf numFmtId="164" fontId="1" fillId="5" borderId="28" applyAlignment="1" pivotButton="0" quotePrefix="0" xfId="0">
      <alignment horizontal="center" vertical="center"/>
    </xf>
    <xf numFmtId="164" fontId="1" fillId="5" borderId="28" applyAlignment="1" pivotButton="0" quotePrefix="0" xfId="0">
      <alignment horizontal="center"/>
    </xf>
    <xf numFmtId="0" fontId="1" fillId="5" borderId="28" applyAlignment="1" pivotButton="0" quotePrefix="0" xfId="0">
      <alignment vertical="center"/>
    </xf>
    <xf numFmtId="0" fontId="1" fillId="5" borderId="28" pivotButton="0" quotePrefix="0" xfId="0"/>
    <xf numFmtId="0" fontId="3" fillId="6" borderId="32" applyAlignment="1" pivotButton="0" quotePrefix="0" xfId="0">
      <alignment horizontal="center" vertical="center"/>
    </xf>
    <xf numFmtId="164" fontId="7" fillId="5" borderId="14" applyAlignment="1" pivotButton="0" quotePrefix="0" xfId="0">
      <alignment horizontal="center" vertical="center"/>
    </xf>
    <xf numFmtId="164" fontId="2" fillId="3" borderId="34" applyAlignment="1" pivotButton="0" quotePrefix="0" xfId="0">
      <alignment horizontal="center" vertical="center"/>
    </xf>
    <xf numFmtId="14" fontId="2" fillId="0" borderId="35" applyAlignment="1" pivotButton="0" quotePrefix="0" xfId="0">
      <alignment horizontal="center" vertical="center"/>
    </xf>
    <xf numFmtId="14" fontId="3" fillId="5" borderId="36" applyAlignment="1" pivotButton="0" quotePrefix="0" xfId="0">
      <alignment horizontal="center" vertical="center"/>
    </xf>
    <xf numFmtId="164" fontId="3" fillId="5" borderId="33" applyAlignment="1" pivotButton="0" quotePrefix="0" xfId="0">
      <alignment horizontal="center" vertical="center"/>
    </xf>
    <xf numFmtId="164" fontId="3" fillId="5" borderId="14" applyAlignment="1" pivotButton="0" quotePrefix="0" xfId="0">
      <alignment horizontal="center" vertical="center"/>
    </xf>
    <xf numFmtId="165" fontId="3" fillId="5" borderId="13" applyAlignment="1" pivotButton="0" quotePrefix="0" xfId="0">
      <alignment horizontal="center" vertical="center"/>
    </xf>
    <xf numFmtId="165" fontId="3" fillId="5" borderId="14" applyAlignment="1" pivotButton="0" quotePrefix="0" xfId="0">
      <alignment horizontal="center" vertical="center"/>
    </xf>
    <xf numFmtId="165" fontId="3" fillId="5" borderId="33" applyAlignment="1" pivotButton="0" quotePrefix="0" xfId="0">
      <alignment horizontal="center" vertical="center"/>
    </xf>
    <xf numFmtId="164" fontId="2" fillId="3" borderId="37" applyAlignment="1" pivotButton="0" quotePrefix="0" xfId="0">
      <alignment horizontal="center" vertical="center"/>
    </xf>
    <xf numFmtId="164" fontId="2" fillId="3" borderId="38" applyAlignment="1" pivotButton="0" quotePrefix="0" xfId="0">
      <alignment horizontal="center" vertical="center"/>
    </xf>
    <xf numFmtId="165" fontId="4" fillId="0" borderId="21" applyAlignment="1" pivotButton="0" quotePrefix="0" xfId="0">
      <alignment horizontal="center" vertical="center"/>
    </xf>
    <xf numFmtId="165" fontId="4" fillId="0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3" borderId="24" applyAlignment="1" pivotButton="0" quotePrefix="0" xfId="0">
      <alignment horizontal="center" vertical="center"/>
    </xf>
    <xf numFmtId="14" fontId="1" fillId="0" borderId="35" applyAlignment="1" pivotButton="0" quotePrefix="0" xfId="0">
      <alignment horizontal="center" vertical="center"/>
    </xf>
    <xf numFmtId="0" fontId="7" fillId="5" borderId="36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/>
    </xf>
    <xf numFmtId="164" fontId="1" fillId="3" borderId="6" applyAlignment="1" pivotButton="0" quotePrefix="0" xfId="0">
      <alignment horizontal="center" vertical="center"/>
    </xf>
    <xf numFmtId="164" fontId="1" fillId="3" borderId="7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6" fillId="0" borderId="22" applyAlignment="1" pivotButton="0" quotePrefix="0" xfId="0">
      <alignment horizontal="center" vertical="center"/>
    </xf>
    <xf numFmtId="165" fontId="6" fillId="0" borderId="28" applyAlignment="1" pivotButton="0" quotePrefix="0" xfId="0">
      <alignment horizontal="center"/>
    </xf>
    <xf numFmtId="0" fontId="3" fillId="5" borderId="28" applyAlignment="1" pivotButton="0" quotePrefix="0" xfId="0">
      <alignment horizontal="center" vertical="center"/>
    </xf>
    <xf numFmtId="165" fontId="3" fillId="5" borderId="28" applyAlignment="1" pivotButton="0" quotePrefix="0" xfId="0">
      <alignment horizontal="center"/>
    </xf>
    <xf numFmtId="164" fontId="6" fillId="0" borderId="7" applyAlignment="1" pivotButton="0" quotePrefix="0" xfId="2">
      <alignment horizontal="center" vertical="center"/>
    </xf>
    <xf numFmtId="0" fontId="1" fillId="0" borderId="0" pivotButton="0" quotePrefix="0" xfId="0"/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/>
    </xf>
    <xf numFmtId="0" fontId="14" fillId="4" borderId="39" applyAlignment="1" pivotButton="0" quotePrefix="0" xfId="0">
      <alignment horizontal="center" vertical="center"/>
    </xf>
    <xf numFmtId="165" fontId="14" fillId="4" borderId="24" applyAlignment="1" pivotButton="0" quotePrefix="0" xfId="0">
      <alignment horizontal="center" vertical="center"/>
    </xf>
    <xf numFmtId="165" fontId="14" fillId="4" borderId="25" applyAlignment="1" pivotButton="0" quotePrefix="0" xfId="0">
      <alignment horizontal="center" vertical="center"/>
    </xf>
    <xf numFmtId="0" fontId="14" fillId="4" borderId="24" applyAlignment="1" pivotButton="0" quotePrefix="0" xfId="0">
      <alignment horizontal="center" vertical="center"/>
    </xf>
    <xf numFmtId="0" fontId="14" fillId="4" borderId="2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/>
    </xf>
    <xf numFmtId="165" fontId="3" fillId="3" borderId="28" applyAlignment="1" pivotButton="0" quotePrefix="0" xfId="0">
      <alignment horizontal="center" vertical="center"/>
    </xf>
    <xf numFmtId="0" fontId="1" fillId="8" borderId="28" applyAlignment="1" pivotButton="0" quotePrefix="0" xfId="0">
      <alignment horizontal="center"/>
    </xf>
    <xf numFmtId="165" fontId="3" fillId="5" borderId="28" applyAlignment="1" pivotButton="0" quotePrefix="0" xfId="0">
      <alignment horizontal="center" vertical="center"/>
    </xf>
    <xf numFmtId="164" fontId="6" fillId="0" borderId="40" applyAlignment="1" pivotButton="0" quotePrefix="0" xfId="0">
      <alignment horizontal="center" vertical="center"/>
    </xf>
    <xf numFmtId="164" fontId="6" fillId="0" borderId="41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 wrapText="1"/>
    </xf>
    <xf numFmtId="0" fontId="3" fillId="2" borderId="19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21" applyAlignment="1" pivotButton="0" quotePrefix="0" xfId="0">
      <alignment horizontal="center" vertical="center" wrapText="1"/>
    </xf>
    <xf numFmtId="0" fontId="3" fillId="2" borderId="22" applyAlignment="1" pivotButton="0" quotePrefix="0" xfId="0">
      <alignment horizontal="center" vertical="center" wrapText="1"/>
    </xf>
    <xf numFmtId="0" fontId="14" fillId="4" borderId="24" applyAlignment="1" pivotButton="0" quotePrefix="0" xfId="0">
      <alignment horizontal="center" vertical="center"/>
    </xf>
    <xf numFmtId="0" fontId="14" fillId="4" borderId="25" applyAlignment="1" pivotButton="0" quotePrefix="0" xfId="0">
      <alignment horizontal="center" vertical="center"/>
    </xf>
    <xf numFmtId="165" fontId="14" fillId="4" borderId="24" applyAlignment="1" pivotButton="0" quotePrefix="0" xfId="0">
      <alignment horizontal="center" vertical="center"/>
    </xf>
    <xf numFmtId="165" fontId="14" fillId="4" borderId="25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23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0" fontId="12" fillId="3" borderId="21" applyAlignment="1" pivotButton="0" quotePrefix="0" xfId="0">
      <alignment horizontal="center" vertical="center"/>
    </xf>
    <xf numFmtId="0" fontId="12" fillId="3" borderId="22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 vertical="center"/>
    </xf>
    <xf numFmtId="164" fontId="13" fillId="4" borderId="13" applyAlignment="1" pivotButton="0" quotePrefix="0" xfId="0">
      <alignment horizontal="center" vertical="center" wrapText="1"/>
    </xf>
    <xf numFmtId="164" fontId="13" fillId="4" borderId="15" applyAlignment="1" pivotButton="0" quotePrefix="0" xfId="0">
      <alignment horizontal="center" vertical="center"/>
    </xf>
    <xf numFmtId="164" fontId="13" fillId="4" borderId="14" applyAlignment="1" pivotButton="0" quotePrefix="0" xfId="0">
      <alignment horizontal="center" vertical="center"/>
    </xf>
    <xf numFmtId="165" fontId="15" fillId="7" borderId="26" applyAlignment="1" pivotButton="0" quotePrefix="0" xfId="0">
      <alignment horizontal="center" vertical="center"/>
    </xf>
    <xf numFmtId="165" fontId="15" fillId="7" borderId="27" applyAlignment="1" pivotButton="0" quotePrefix="0" xfId="0">
      <alignment horizontal="center" vertical="center"/>
    </xf>
    <xf numFmtId="0" fontId="3" fillId="3" borderId="29" applyAlignment="1" pivotButton="0" quotePrefix="0" xfId="0">
      <alignment horizontal="center" vertical="center" wrapText="1"/>
    </xf>
    <xf numFmtId="0" fontId="3" fillId="3" borderId="3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8" borderId="28" applyAlignment="1" pivotButton="0" quotePrefix="0" xfId="0">
      <alignment horizontal="center"/>
    </xf>
    <xf numFmtId="0" fontId="7" fillId="0" borderId="28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 wrapText="1"/>
    </xf>
    <xf numFmtId="0" fontId="1" fillId="8" borderId="28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33" pivotButton="0" quotePrefix="0" xfId="0"/>
    <xf numFmtId="0" fontId="3" fillId="0" borderId="36" applyAlignment="1" pivotButton="0" quotePrefix="0" xfId="0">
      <alignment horizontal="center" vertical="center"/>
    </xf>
    <xf numFmtId="0" fontId="0" fillId="0" borderId="19" pivotButton="0" quotePrefix="0" xfId="0"/>
    <xf numFmtId="0" fontId="3" fillId="2" borderId="35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37" pivotButton="0" quotePrefix="0" xfId="0"/>
    <xf numFmtId="0" fontId="0" fillId="0" borderId="18" pivotButton="0" quotePrefix="0" xfId="0"/>
    <xf numFmtId="0" fontId="12" fillId="0" borderId="36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23" pivotButton="0" quotePrefix="0" xfId="0"/>
    <xf numFmtId="0" fontId="0" fillId="0" borderId="47" pivotButton="0" quotePrefix="0" xfId="0"/>
    <xf numFmtId="0" fontId="0" fillId="0" borderId="34" pivotButton="0" quotePrefix="0" xfId="0"/>
    <xf numFmtId="165" fontId="15" fillId="7" borderId="36" applyAlignment="1" pivotButton="0" quotePrefix="0" xfId="0">
      <alignment horizontal="center" vertical="center"/>
    </xf>
    <xf numFmtId="0" fontId="0" fillId="0" borderId="27" pivotButton="0" quotePrefix="0" xfId="0"/>
    <xf numFmtId="0" fontId="3" fillId="3" borderId="28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1" pivotButton="0" quotePrefix="0" xfId="0"/>
    <xf numFmtId="0" fontId="0" fillId="0" borderId="51" pivotButton="0" quotePrefix="0" xfId="0"/>
  </cellXfs>
  <cellStyles count="4">
    <cellStyle name="Обычный" xfId="0" builtinId="0"/>
    <cellStyle name="Обычный 2" xfId="1"/>
    <cellStyle name="Финансовый" xfId="2" builtinId="3"/>
    <cellStyle name="Обычный 3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2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z-Cyrl-UZ" sz="2400"/>
              <a:t>Энг кўп (чипталар суммаси)</a:t>
            </a:r>
            <a:endParaRPr lang="ru-RU" sz="2400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24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delete val="1"/>
          </dLbls>
          <cat>
            <strRef>
              <f>Лист1!$B$4:$B$18</f>
              <strCache>
                <ptCount val="15"/>
                <pt idx="0">
                  <v>Самарқанд</v>
                </pt>
                <pt idx="1">
                  <v>Бухоро</v>
                </pt>
                <pt idx="2">
                  <v>Нукус</v>
                </pt>
                <pt idx="3">
                  <v>Тошкент Жанубий</v>
                </pt>
                <pt idx="4">
                  <v>Тошкент Шимолий</v>
                </pt>
                <pt idx="5">
                  <v>Карши</v>
                </pt>
                <pt idx="6">
                  <v>Марғилон</v>
                </pt>
                <pt idx="7">
                  <v>Қўнғрод</v>
                </pt>
                <pt idx="8">
                  <v>Андижон</v>
                </pt>
                <pt idx="9">
                  <v>Термиз</v>
                </pt>
                <pt idx="10">
                  <v>Қўқон</v>
                </pt>
                <pt idx="11">
                  <v>Урганч</v>
                </pt>
                <pt idx="12">
                  <v>Хива</v>
                </pt>
                <pt idx="13">
                  <v>Наманган</v>
                </pt>
                <pt idx="14">
                  <v>Навои</v>
                </pt>
              </strCache>
            </strRef>
          </cat>
          <val>
            <numRef>
              <f>Лист1!$C$4:$C$18</f>
              <numCache>
                <formatCode>_-* #\ ##0\ _₽_-;\-* #\ ##0\ _₽_-;_-* "-"\ _₽_-;_-@_-</formatCode>
                <ptCount val="15"/>
                <pt idx="0">
                  <v>1480</v>
                </pt>
                <pt idx="1">
                  <v>737</v>
                </pt>
                <pt idx="2">
                  <v>415</v>
                </pt>
                <pt idx="3">
                  <v>457</v>
                </pt>
                <pt idx="4">
                  <v>398</v>
                </pt>
                <pt idx="5">
                  <v>373</v>
                </pt>
                <pt idx="6">
                  <v>304</v>
                </pt>
                <pt idx="7">
                  <v>174</v>
                </pt>
                <pt idx="8">
                  <v>263</v>
                </pt>
                <pt idx="9">
                  <v>221</v>
                </pt>
                <pt idx="10">
                  <v>243</v>
                </pt>
                <pt idx="11">
                  <v>66</v>
                </pt>
                <pt idx="12">
                  <v>40</v>
                </pt>
                <pt idx="13">
                  <v>57</v>
                </pt>
                <pt idx="14">
                  <v>27</v>
                </pt>
              </numCache>
            </numRef>
          </val>
        </ser>
        <ser>
          <idx val="1"/>
          <order val="1"/>
          <spPr>
            <a:gradFill xmlns:a="http://schemas.openxmlformats.org/drawingml/2006/main"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4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t/>
                </a:r>
                <a:endParaRPr lang="ru-RU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Лист1!$B$4:$B$18</f>
              <strCache>
                <ptCount val="15"/>
                <pt idx="0">
                  <v>Самарқанд</v>
                </pt>
                <pt idx="1">
                  <v>Бухоро</v>
                </pt>
                <pt idx="2">
                  <v>Нукус</v>
                </pt>
                <pt idx="3">
                  <v>Тошкент Жанубий</v>
                </pt>
                <pt idx="4">
                  <v>Тошкент Шимолий</v>
                </pt>
                <pt idx="5">
                  <v>Карши</v>
                </pt>
                <pt idx="6">
                  <v>Марғилон</v>
                </pt>
                <pt idx="7">
                  <v>Қўнғрод</v>
                </pt>
                <pt idx="8">
                  <v>Андижон</v>
                </pt>
                <pt idx="9">
                  <v>Термиз</v>
                </pt>
                <pt idx="10">
                  <v>Қўқон</v>
                </pt>
                <pt idx="11">
                  <v>Урганч</v>
                </pt>
                <pt idx="12">
                  <v>Хива</v>
                </pt>
                <pt idx="13">
                  <v>Наманган</v>
                </pt>
                <pt idx="14">
                  <v>Навои</v>
                </pt>
              </strCache>
            </strRef>
          </cat>
          <val>
            <numRef>
              <f>Лист1!$D$4:$D$18</f>
              <numCache>
                <formatCode>_-* #\ ##0\ _₽_-;\-* #\ ##0\ _₽_-;_-* "-"\ _₽_-;_-@_-</formatCode>
                <ptCount val="15"/>
                <pt idx="0">
                  <v>370227290</v>
                </pt>
                <pt idx="1">
                  <v>217465760</v>
                </pt>
                <pt idx="2">
                  <v>162531550</v>
                </pt>
                <pt idx="3">
                  <v>138862370</v>
                </pt>
                <pt idx="4">
                  <v>133252470</v>
                </pt>
                <pt idx="5">
                  <v>87862680</v>
                </pt>
                <pt idx="6">
                  <v>63832180</v>
                </pt>
                <pt idx="7">
                  <v>62762680</v>
                </pt>
                <pt idx="8">
                  <v>57411800</v>
                </pt>
                <pt idx="9">
                  <v>53706200</v>
                </pt>
                <pt idx="10">
                  <v>49759550</v>
                </pt>
                <pt idx="11">
                  <v>25555020</v>
                </pt>
                <pt idx="12">
                  <v>13532360</v>
                </pt>
                <pt idx="13">
                  <v>12032600</v>
                </pt>
                <pt idx="14">
                  <v>8196890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026729423"/>
        <axId val="1026725103"/>
      </barChart>
      <catAx>
        <axId val="10267294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026725103"/>
        <crosses val="autoZero"/>
        <auto val="1"/>
        <lblAlgn val="ctr"/>
        <lblOffset val="100"/>
        <noMultiLvlLbl val="0"/>
      </catAx>
      <valAx>
        <axId val="10267251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* #\ ##0\ _₽_-;\-* #\ ##0\ _₽_-;_-* &quot;-&quot;\ _₽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02672942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2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z-Cyrl-UZ" sz="2400"/>
              <a:t>Энг кўп сотилган (чипталар сони)</a:t>
            </a:r>
            <a:endParaRPr lang="ru-RU" sz="2400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2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3420281103694081"/>
          <y val="0.08811299462312518"/>
          <w val="0.9496297565314796"/>
          <h val="0.844684399633489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ru-RU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Лист1!$B$27:$B$41</f>
              <strCache>
                <ptCount val="15"/>
                <pt idx="0">
                  <v>Самарқанд</v>
                </pt>
                <pt idx="1">
                  <v>Бухоро</v>
                </pt>
                <pt idx="2">
                  <v>Тошкент Жанубий</v>
                </pt>
                <pt idx="3">
                  <v>Нукус</v>
                </pt>
                <pt idx="4">
                  <v>Тошкент Шимолий</v>
                </pt>
                <pt idx="5">
                  <v>Карши</v>
                </pt>
                <pt idx="6">
                  <v>Марғилон</v>
                </pt>
                <pt idx="7">
                  <v>Андижон</v>
                </pt>
                <pt idx="8">
                  <v>Қўқон</v>
                </pt>
                <pt idx="9">
                  <v>Термиз</v>
                </pt>
                <pt idx="10">
                  <v>Қўнғрод</v>
                </pt>
                <pt idx="11">
                  <v>Урганч</v>
                </pt>
                <pt idx="12">
                  <v>Наманган</v>
                </pt>
                <pt idx="13">
                  <v>Хива</v>
                </pt>
                <pt idx="14">
                  <v>Навои</v>
                </pt>
              </strCache>
            </strRef>
          </cat>
          <val>
            <numRef>
              <f>Лист1!$C$27:$C$41</f>
              <numCache>
                <formatCode>_-* #\ ##0\ _₽_-;\-* #\ ##0\ _₽_-;_-* "-"\ _₽_-;_-@_-</formatCode>
                <ptCount val="15"/>
                <pt idx="0">
                  <v>1480</v>
                </pt>
                <pt idx="1">
                  <v>737</v>
                </pt>
                <pt idx="2">
                  <v>457</v>
                </pt>
                <pt idx="3">
                  <v>415</v>
                </pt>
                <pt idx="4">
                  <v>398</v>
                </pt>
                <pt idx="5">
                  <v>373</v>
                </pt>
                <pt idx="6">
                  <v>304</v>
                </pt>
                <pt idx="7">
                  <v>263</v>
                </pt>
                <pt idx="8">
                  <v>243</v>
                </pt>
                <pt idx="9">
                  <v>221</v>
                </pt>
                <pt idx="10">
                  <v>174</v>
                </pt>
                <pt idx="11">
                  <v>66</v>
                </pt>
                <pt idx="12">
                  <v>57</v>
                </pt>
                <pt idx="13">
                  <v>40</v>
                </pt>
                <pt idx="14">
                  <v>27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029762543"/>
        <axId val="1029759663"/>
      </barChart>
      <catAx>
        <axId val="102976254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029759663"/>
        <crosses val="autoZero"/>
        <auto val="1"/>
        <lblAlgn val="ctr"/>
        <lblOffset val="100"/>
        <noMultiLvlLbl val="0"/>
      </catAx>
      <valAx>
        <axId val="102975966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* #\ ##0\ _₽_-;\-* #\ ##0\ _₽_-;_-* &quot;-&quot;\ _₽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02976254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4</col>
      <colOff>470647</colOff>
      <row>1</row>
      <rowOff>5522</rowOff>
    </from>
    <to>
      <col>29</col>
      <colOff>299357</colOff>
      <row>22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462643</colOff>
      <row>23</row>
      <rowOff>172811</rowOff>
    </from>
    <to>
      <col>29</col>
      <colOff>299357</colOff>
      <row>49</row>
      <rowOff>40821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K\Desktop\123\&#1054;&#1090;&#1095;&#1105;&#1090;\&#1048;&#1053;&#1060;&#1054;&#1050;&#1048;&#1054;&#1057;&#1050;&#1040;\2026\&#1052;&#1072;&#1088;&#1090;%20%20&#1082;&#1080;&#1089;&#1086;&#1082;&#1072;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Жами"/>
      <sheetName val="Худудлар"/>
      <sheetName val="Лист1"/>
      <sheetName val="Ойлар кесимида"/>
    </sheetNames>
    <sheetDataSet>
      <sheetData sheetId="0"/>
      <sheetData sheetId="1">
        <row r="35">
          <cell r="D35">
            <v>300</v>
          </cell>
          <cell r="E35">
            <v>85370650</v>
          </cell>
          <cell r="F35">
            <v>39</v>
          </cell>
          <cell r="G35">
            <v>10019510</v>
          </cell>
          <cell r="H35">
            <v>454</v>
          </cell>
          <cell r="I35">
            <v>103382420</v>
          </cell>
          <cell r="J35">
            <v>8</v>
          </cell>
          <cell r="K35">
            <v>1819320</v>
          </cell>
          <cell r="L35">
            <v>68</v>
          </cell>
          <cell r="M35">
            <v>19585380</v>
          </cell>
          <cell r="N35">
            <v>101</v>
          </cell>
          <cell r="O35">
            <v>29188810</v>
          </cell>
          <cell r="P35">
            <v>50</v>
          </cell>
          <cell r="Q35">
            <v>13512240</v>
          </cell>
          <cell r="R35">
            <v>8</v>
          </cell>
          <cell r="S35">
            <v>1863550</v>
          </cell>
          <cell r="T35">
            <v>86</v>
          </cell>
          <cell r="U35">
            <v>22192230</v>
          </cell>
          <cell r="V35">
            <v>73</v>
          </cell>
          <cell r="W35">
            <v>17464110</v>
          </cell>
          <cell r="X35">
            <v>1</v>
          </cell>
          <cell r="Y35">
            <v>258610</v>
          </cell>
          <cell r="Z35">
            <v>86</v>
          </cell>
          <cell r="AA35">
            <v>17664210</v>
          </cell>
          <cell r="AB35">
            <v>43</v>
          </cell>
          <cell r="AC35">
            <v>20516590</v>
          </cell>
          <cell r="AD35">
            <v>179</v>
          </cell>
          <cell r="AE35">
            <v>60364140</v>
          </cell>
          <cell r="AF35">
            <v>20</v>
          </cell>
          <cell r="AG35">
            <v>4075890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zoomScale="85" zoomScaleNormal="85" workbookViewId="0">
      <selection activeCell="D3" sqref="D3"/>
    </sheetView>
  </sheetViews>
  <sheetFormatPr baseColWidth="8" defaultRowHeight="15"/>
  <cols>
    <col width="11.85546875" customWidth="1" min="1" max="1"/>
    <col width="16.140625" bestFit="1" customWidth="1" min="2" max="5"/>
    <col width="7.85546875" bestFit="1" customWidth="1" min="6" max="6"/>
    <col width="16.42578125" bestFit="1" customWidth="1" style="47" min="7" max="7"/>
    <col width="14.28515625" bestFit="1" customWidth="1" min="8" max="8"/>
  </cols>
  <sheetData>
    <row r="1" ht="60" customHeight="1" thickBot="1">
      <c r="A1" s="76" t="inlineStr">
        <is>
          <t>Чиптаҳоналардаги киоскалардан сотилган
 чипталар тўғрисида маълумотнома 01.07.2026-31.07.2026. йил.</t>
        </is>
      </c>
      <c r="B1" s="109" t="n"/>
      <c r="C1" s="109" t="n"/>
      <c r="D1" s="109" t="n"/>
      <c r="E1" s="109" t="n"/>
      <c r="F1" s="109" t="n"/>
      <c r="G1" s="110" t="n"/>
    </row>
    <row r="2" ht="18.75" customHeight="1">
      <c r="A2" s="111" t="inlineStr">
        <is>
          <t>Кун</t>
        </is>
      </c>
      <c r="B2" s="81" t="inlineStr">
        <is>
          <t>Жами</t>
        </is>
      </c>
      <c r="C2" s="112" t="n"/>
      <c r="D2" s="113" t="inlineStr">
        <is>
          <t>Онлайн тўлов</t>
        </is>
      </c>
      <c r="E2" s="114" t="n"/>
      <c r="F2" s="84" t="inlineStr">
        <is>
          <t>Терминал тўлов</t>
        </is>
      </c>
      <c r="G2" s="115" t="n"/>
    </row>
    <row r="3" ht="30.75" customHeight="1" thickBot="1">
      <c r="A3" s="116" t="n"/>
      <c r="B3" s="24" t="inlineStr">
        <is>
          <t>Сони</t>
        </is>
      </c>
      <c r="C3" s="25" t="inlineStr">
        <is>
          <t>Сумма</t>
        </is>
      </c>
      <c r="D3" s="24" t="inlineStr">
        <is>
          <t>Сони</t>
        </is>
      </c>
      <c r="E3" s="26" t="inlineStr">
        <is>
          <t>Сумма</t>
        </is>
      </c>
      <c r="F3" s="24" t="inlineStr">
        <is>
          <t>Сони</t>
        </is>
      </c>
      <c r="G3" s="27" t="inlineStr">
        <is>
          <t xml:space="preserve"> Сумма</t>
        </is>
      </c>
    </row>
    <row r="4" ht="15.75" customHeight="1">
      <c r="A4" s="36" t="n">
        <v>46082</v>
      </c>
      <c r="B4" s="43">
        <f>Худудлар!B4</f>
        <v/>
      </c>
      <c r="C4" s="44">
        <f>Худудлар!C4</f>
        <v/>
      </c>
      <c r="D4" s="45">
        <f>B4-F4</f>
        <v/>
      </c>
      <c r="E4" s="46">
        <f>C4-G4</f>
        <v/>
      </c>
      <c r="F4" s="45" t="n">
        <v>111</v>
      </c>
      <c r="G4" s="46" t="n">
        <v>31379900</v>
      </c>
    </row>
    <row r="5" ht="16.5" customHeight="1" thickBot="1">
      <c r="A5" s="3" t="n">
        <v>46083</v>
      </c>
      <c r="B5" s="35">
        <f>#REF!</f>
        <v/>
      </c>
      <c r="C5" s="11">
        <f>#REF!</f>
        <v/>
      </c>
      <c r="D5" s="5">
        <f>B5-F5</f>
        <v/>
      </c>
      <c r="E5" s="8">
        <f>C5-G5</f>
        <v/>
      </c>
      <c r="F5" s="4" t="n">
        <v>161</v>
      </c>
      <c r="G5" s="9" t="n">
        <v>3840670</v>
      </c>
      <c r="H5" s="13" t="n"/>
    </row>
    <row r="6" ht="15.75" customHeight="1">
      <c r="A6" s="36" t="n">
        <v>46084</v>
      </c>
      <c r="B6" s="35">
        <f>#REF!</f>
        <v/>
      </c>
      <c r="C6" s="11">
        <f>#REF!</f>
        <v/>
      </c>
      <c r="D6" s="5">
        <f>B6-F6</f>
        <v/>
      </c>
      <c r="E6" s="8">
        <f>C6-G6</f>
        <v/>
      </c>
      <c r="F6" s="4" t="n"/>
      <c r="G6" s="9" t="n"/>
      <c r="H6" s="13" t="n"/>
    </row>
    <row r="7" ht="16.5" customHeight="1" thickBot="1">
      <c r="A7" s="3" t="n">
        <v>46085</v>
      </c>
      <c r="B7" s="35">
        <f>#REF!</f>
        <v/>
      </c>
      <c r="C7" s="11">
        <f>#REF!</f>
        <v/>
      </c>
      <c r="D7" s="5">
        <f>B7-F7</f>
        <v/>
      </c>
      <c r="E7" s="8">
        <f>C7-G7</f>
        <v/>
      </c>
      <c r="F7" s="4" t="n"/>
      <c r="G7" s="23" t="n"/>
      <c r="H7" s="13" t="n"/>
    </row>
    <row r="8" ht="15.75" customHeight="1">
      <c r="A8" s="36" t="n">
        <v>46086</v>
      </c>
      <c r="B8" s="35">
        <f>#REF!</f>
        <v/>
      </c>
      <c r="C8" s="11">
        <f>#REF!</f>
        <v/>
      </c>
      <c r="D8" s="5">
        <f>B8-F8</f>
        <v/>
      </c>
      <c r="E8" s="8">
        <f>C8-G8</f>
        <v/>
      </c>
      <c r="F8" s="4" t="n"/>
      <c r="G8" s="9" t="n"/>
      <c r="H8" s="13" t="n"/>
    </row>
    <row r="9" ht="16.5" customHeight="1" thickBot="1">
      <c r="A9" s="3" t="n">
        <v>46087</v>
      </c>
      <c r="B9" s="35">
        <f>#REF!</f>
        <v/>
      </c>
      <c r="C9" s="11">
        <f>#REF!</f>
        <v/>
      </c>
      <c r="D9" s="5">
        <f>B9-F9</f>
        <v/>
      </c>
      <c r="E9" s="8">
        <f>C9-G9</f>
        <v/>
      </c>
      <c r="F9" s="4" t="n"/>
      <c r="G9" s="9" t="n"/>
      <c r="H9" s="13" t="n"/>
    </row>
    <row r="10" ht="15.75" customHeight="1">
      <c r="A10" s="36" t="n">
        <v>46088</v>
      </c>
      <c r="B10" s="35">
        <f>#REF!</f>
        <v/>
      </c>
      <c r="C10" s="11">
        <f>#REF!</f>
        <v/>
      </c>
      <c r="D10" s="5">
        <f>B10-F10</f>
        <v/>
      </c>
      <c r="E10" s="8">
        <f>C10-G10</f>
        <v/>
      </c>
      <c r="F10" s="4" t="n"/>
      <c r="G10" s="9" t="n"/>
      <c r="H10" s="13" t="n"/>
    </row>
    <row r="11" ht="16.5" customHeight="1" thickBot="1">
      <c r="A11" s="3" t="n">
        <v>46089</v>
      </c>
      <c r="B11" s="35">
        <f>#REF!</f>
        <v/>
      </c>
      <c r="C11" s="11">
        <f>#REF!</f>
        <v/>
      </c>
      <c r="D11" s="5">
        <f>B11-F11</f>
        <v/>
      </c>
      <c r="E11" s="8">
        <f>C11-G11</f>
        <v/>
      </c>
      <c r="F11" s="4" t="n"/>
      <c r="G11" s="9" t="n"/>
    </row>
    <row r="12" ht="15.75" customHeight="1">
      <c r="A12" s="36" t="n">
        <v>46090</v>
      </c>
      <c r="B12" s="35">
        <f>#REF!</f>
        <v/>
      </c>
      <c r="C12" s="11">
        <f>#REF!</f>
        <v/>
      </c>
      <c r="D12" s="5">
        <f>B12-F12</f>
        <v/>
      </c>
      <c r="E12" s="8">
        <f>C12-G12</f>
        <v/>
      </c>
      <c r="F12" s="4" t="n"/>
      <c r="G12" s="9" t="n"/>
    </row>
    <row r="13" ht="16.5" customHeight="1" thickBot="1">
      <c r="A13" s="3" t="n">
        <v>46091</v>
      </c>
      <c r="B13" s="35">
        <f>#REF!</f>
        <v/>
      </c>
      <c r="C13" s="11">
        <f>#REF!</f>
        <v/>
      </c>
      <c r="D13" s="5">
        <f>B13-F13</f>
        <v/>
      </c>
      <c r="E13" s="8">
        <f>C13-G13</f>
        <v/>
      </c>
      <c r="F13" s="4" t="n"/>
      <c r="G13" s="9" t="n"/>
    </row>
    <row r="14" ht="15.75" customHeight="1">
      <c r="A14" s="36" t="n">
        <v>46092</v>
      </c>
      <c r="B14" s="35">
        <f>#REF!</f>
        <v/>
      </c>
      <c r="C14" s="11">
        <f>#REF!</f>
        <v/>
      </c>
      <c r="D14" s="5">
        <f>B14-F14</f>
        <v/>
      </c>
      <c r="E14" s="8">
        <f>C14-G14</f>
        <v/>
      </c>
      <c r="F14" s="4" t="n"/>
      <c r="G14" s="9" t="n"/>
    </row>
    <row r="15" ht="16.5" customHeight="1" thickBot="1">
      <c r="A15" s="3" t="n">
        <v>46093</v>
      </c>
      <c r="B15" s="35">
        <f>#REF!</f>
        <v/>
      </c>
      <c r="C15" s="11">
        <f>#REF!</f>
        <v/>
      </c>
      <c r="D15" s="5">
        <f>B15-F15</f>
        <v/>
      </c>
      <c r="E15" s="8">
        <f>C15-G15</f>
        <v/>
      </c>
      <c r="F15" s="4" t="n"/>
      <c r="G15" s="9" t="n"/>
    </row>
    <row r="16" ht="15.75" customHeight="1">
      <c r="A16" s="36" t="n">
        <v>46094</v>
      </c>
      <c r="B16" s="35">
        <f>#REF!</f>
        <v/>
      </c>
      <c r="C16" s="11">
        <f>#REF!</f>
        <v/>
      </c>
      <c r="D16" s="5">
        <f>B16-F16</f>
        <v/>
      </c>
      <c r="E16" s="8">
        <f>C16-G16</f>
        <v/>
      </c>
      <c r="F16" s="4" t="n"/>
      <c r="G16" s="9" t="n"/>
    </row>
    <row r="17" ht="16.5" customHeight="1" thickBot="1">
      <c r="A17" s="3" t="n">
        <v>46095</v>
      </c>
      <c r="B17" s="35">
        <f>#REF!</f>
        <v/>
      </c>
      <c r="C17" s="11">
        <f>#REF!</f>
        <v/>
      </c>
      <c r="D17" s="5">
        <f>B17-F17</f>
        <v/>
      </c>
      <c r="E17" s="8">
        <f>C17-G17</f>
        <v/>
      </c>
      <c r="F17" s="4" t="n"/>
      <c r="G17" s="9" t="n"/>
    </row>
    <row r="18" ht="15.75" customHeight="1">
      <c r="A18" s="36" t="n">
        <v>46096</v>
      </c>
      <c r="B18" s="35">
        <f>#REF!</f>
        <v/>
      </c>
      <c r="C18" s="11">
        <f>#REF!</f>
        <v/>
      </c>
      <c r="D18" s="5">
        <f>B18-F18</f>
        <v/>
      </c>
      <c r="E18" s="8">
        <f>C18-G18</f>
        <v/>
      </c>
      <c r="F18" s="4" t="n"/>
      <c r="G18" s="9" t="n"/>
    </row>
    <row r="19" ht="16.5" customHeight="1" thickBot="1">
      <c r="A19" s="3" t="n">
        <v>46097</v>
      </c>
      <c r="B19" s="35">
        <f>#REF!</f>
        <v/>
      </c>
      <c r="C19" s="11">
        <f>#REF!</f>
        <v/>
      </c>
      <c r="D19" s="5">
        <f>B19-F19</f>
        <v/>
      </c>
      <c r="E19" s="8">
        <f>C19-G19</f>
        <v/>
      </c>
      <c r="F19" s="4" t="n"/>
      <c r="G19" s="9" t="n"/>
    </row>
    <row r="20" ht="15.75" customHeight="1">
      <c r="A20" s="36" t="n">
        <v>46098</v>
      </c>
      <c r="B20" s="35">
        <f>#REF!</f>
        <v/>
      </c>
      <c r="C20" s="11">
        <f>#REF!</f>
        <v/>
      </c>
      <c r="D20" s="5">
        <f>B20-F20</f>
        <v/>
      </c>
      <c r="E20" s="8">
        <f>C20-G20</f>
        <v/>
      </c>
      <c r="F20" s="4" t="n"/>
      <c r="G20" s="9" t="n"/>
    </row>
    <row r="21" ht="16.5" customHeight="1" thickBot="1">
      <c r="A21" s="3" t="n">
        <v>46099</v>
      </c>
      <c r="B21" s="35">
        <f>#REF!</f>
        <v/>
      </c>
      <c r="C21" s="11">
        <f>#REF!</f>
        <v/>
      </c>
      <c r="D21" s="5">
        <f>B21-F21</f>
        <v/>
      </c>
      <c r="E21" s="8">
        <f>C21-G21</f>
        <v/>
      </c>
      <c r="F21" s="22" t="n"/>
      <c r="G21" s="10" t="n"/>
    </row>
    <row r="22" ht="15.75" customHeight="1">
      <c r="A22" s="36" t="n">
        <v>46100</v>
      </c>
      <c r="B22" s="35">
        <f>#REF!</f>
        <v/>
      </c>
      <c r="C22" s="11">
        <f>#REF!</f>
        <v/>
      </c>
      <c r="D22" s="5">
        <f>B22-F22</f>
        <v/>
      </c>
      <c r="E22" s="8">
        <f>C22-G22</f>
        <v/>
      </c>
      <c r="F22" s="22" t="n"/>
      <c r="G22" s="10" t="n"/>
    </row>
    <row r="23" ht="16.5" customHeight="1" thickBot="1">
      <c r="A23" s="3" t="n">
        <v>46101</v>
      </c>
      <c r="B23" s="35">
        <f>#REF!</f>
        <v/>
      </c>
      <c r="C23" s="11">
        <f>#REF!</f>
        <v/>
      </c>
      <c r="D23" s="5">
        <f>B23-F23</f>
        <v/>
      </c>
      <c r="E23" s="8">
        <f>C23-G23</f>
        <v/>
      </c>
      <c r="F23" s="22" t="n"/>
      <c r="G23" s="10" t="n"/>
    </row>
    <row r="24" ht="15.75" customHeight="1">
      <c r="A24" s="36" t="n">
        <v>46102</v>
      </c>
      <c r="B24" s="35">
        <f>#REF!</f>
        <v/>
      </c>
      <c r="C24" s="11">
        <f>#REF!</f>
        <v/>
      </c>
      <c r="D24" s="5">
        <f>B24-F24</f>
        <v/>
      </c>
      <c r="E24" s="8">
        <f>C24-G24</f>
        <v/>
      </c>
      <c r="F24" s="4" t="n"/>
      <c r="G24" s="9" t="n"/>
    </row>
    <row r="25" ht="16.5" customHeight="1" thickBot="1">
      <c r="A25" s="3" t="n">
        <v>46103</v>
      </c>
      <c r="B25" s="35">
        <f>#REF!</f>
        <v/>
      </c>
      <c r="C25" s="11">
        <f>#REF!</f>
        <v/>
      </c>
      <c r="D25" s="5">
        <f>B25-F25</f>
        <v/>
      </c>
      <c r="E25" s="8">
        <f>C25-G25</f>
        <v/>
      </c>
      <c r="F25" s="4" t="n"/>
      <c r="G25" s="9" t="n"/>
    </row>
    <row r="26" ht="15.75" customHeight="1">
      <c r="A26" s="36" t="n">
        <v>46104</v>
      </c>
      <c r="B26" s="35">
        <f>#REF!</f>
        <v/>
      </c>
      <c r="C26" s="11">
        <f>#REF!</f>
        <v/>
      </c>
      <c r="D26" s="5">
        <f>B26-F26</f>
        <v/>
      </c>
      <c r="E26" s="8">
        <f>C26-G26</f>
        <v/>
      </c>
      <c r="F26" s="4" t="n"/>
      <c r="G26" s="9" t="n"/>
    </row>
    <row r="27" ht="16.5" customHeight="1" thickBot="1">
      <c r="A27" s="3" t="n">
        <v>46105</v>
      </c>
      <c r="B27" s="35">
        <f>#REF!</f>
        <v/>
      </c>
      <c r="C27" s="11">
        <f>#REF!</f>
        <v/>
      </c>
      <c r="D27" s="5">
        <f>B27-F27</f>
        <v/>
      </c>
      <c r="E27" s="8">
        <f>C27-G27</f>
        <v/>
      </c>
      <c r="F27" s="4" t="n"/>
      <c r="G27" s="9" t="n"/>
    </row>
    <row r="28" ht="15.75" customHeight="1">
      <c r="A28" s="36" t="n">
        <v>46106</v>
      </c>
      <c r="B28" s="35">
        <f>#REF!</f>
        <v/>
      </c>
      <c r="C28" s="11">
        <f>#REF!</f>
        <v/>
      </c>
      <c r="D28" s="5">
        <f>B28-F28</f>
        <v/>
      </c>
      <c r="E28" s="8">
        <f>C28-G28</f>
        <v/>
      </c>
      <c r="F28" s="4" t="n"/>
      <c r="G28" s="9" t="n"/>
    </row>
    <row r="29" ht="16.5" customHeight="1" thickBot="1">
      <c r="A29" s="3" t="n">
        <v>46107</v>
      </c>
      <c r="B29" s="35">
        <f>#REF!</f>
        <v/>
      </c>
      <c r="C29" s="11">
        <f>#REF!</f>
        <v/>
      </c>
      <c r="D29" s="5">
        <f>B29-F29</f>
        <v/>
      </c>
      <c r="E29" s="8">
        <f>C29-G29</f>
        <v/>
      </c>
      <c r="F29" s="22" t="n"/>
      <c r="G29" s="9" t="n"/>
    </row>
    <row r="30" ht="15.75" customHeight="1">
      <c r="A30" s="36" t="n">
        <v>46108</v>
      </c>
      <c r="B30" s="35">
        <f>#REF!</f>
        <v/>
      </c>
      <c r="C30" s="11">
        <f>#REF!</f>
        <v/>
      </c>
      <c r="D30" s="5">
        <f>B30-F30</f>
        <v/>
      </c>
      <c r="E30" s="8">
        <f>C30-G30</f>
        <v/>
      </c>
      <c r="F30" s="4" t="n"/>
      <c r="G30" s="9" t="n"/>
    </row>
    <row r="31" ht="16.5" customHeight="1" thickBot="1">
      <c r="A31" s="3" t="n">
        <v>46109</v>
      </c>
      <c r="B31" s="35">
        <f>#REF!</f>
        <v/>
      </c>
      <c r="C31" s="11">
        <f>#REF!</f>
        <v/>
      </c>
      <c r="D31" s="5">
        <f>B31-F31</f>
        <v/>
      </c>
      <c r="E31" s="8">
        <f>C31-G31</f>
        <v/>
      </c>
      <c r="F31" s="22" t="n"/>
      <c r="G31" s="9" t="n"/>
    </row>
    <row r="32" ht="15.75" customHeight="1">
      <c r="A32" s="36" t="n">
        <v>46110</v>
      </c>
      <c r="B32" s="35">
        <f>#REF!</f>
        <v/>
      </c>
      <c r="C32" s="11">
        <f>#REF!</f>
        <v/>
      </c>
      <c r="D32" s="5">
        <f>B32-F32</f>
        <v/>
      </c>
      <c r="E32" s="8">
        <f>C32-G32</f>
        <v/>
      </c>
      <c r="F32" s="22" t="n"/>
      <c r="G32" s="9" t="n"/>
    </row>
    <row r="33" ht="16.5" customHeight="1" thickBot="1">
      <c r="A33" s="3" t="n">
        <v>46111</v>
      </c>
      <c r="B33" s="35">
        <f>#REF!</f>
        <v/>
      </c>
      <c r="C33" s="11">
        <f>#REF!</f>
        <v/>
      </c>
      <c r="D33" s="5">
        <f>B33-F33</f>
        <v/>
      </c>
      <c r="E33" s="8">
        <f>C33-G33</f>
        <v/>
      </c>
      <c r="F33" s="4" t="n"/>
      <c r="G33" s="9" t="n"/>
    </row>
    <row r="34" ht="19.5" customHeight="1" thickBot="1">
      <c r="A34" s="37" t="inlineStr">
        <is>
          <t>Жами</t>
        </is>
      </c>
      <c r="B34" s="38">
        <f>SUM(B4:B31)</f>
        <v/>
      </c>
      <c r="C34" s="39">
        <f>SUM(C4:C31)</f>
        <v/>
      </c>
      <c r="D34" s="40">
        <f>SUM(D4:D31)</f>
        <v/>
      </c>
      <c r="E34" s="41">
        <f>SUM(E4:E31)</f>
        <v/>
      </c>
      <c r="F34" s="42">
        <f>SUM(F4:F31)</f>
        <v/>
      </c>
      <c r="G34" s="41">
        <f>SUM(G4:G31)</f>
        <v/>
      </c>
      <c r="H34" s="13" t="n"/>
    </row>
  </sheetData>
  <mergeCells count="5">
    <mergeCell ref="F2:G2"/>
    <mergeCell ref="B2:C2"/>
    <mergeCell ref="A1:G1"/>
    <mergeCell ref="D2:E2"/>
    <mergeCell ref="A2:A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5"/>
  <sheetViews>
    <sheetView tabSelected="1" topLeftCell="A4" zoomScale="70" zoomScaleNormal="70" workbookViewId="0">
      <selection activeCell="E32" sqref="E32"/>
    </sheetView>
  </sheetViews>
  <sheetFormatPr baseColWidth="8" defaultRowHeight="15"/>
  <cols>
    <col width="16.28515625" bestFit="1" customWidth="1" min="1" max="1"/>
    <col width="15.28515625" bestFit="1" customWidth="1" min="2" max="2"/>
    <col width="28.5703125" bestFit="1" customWidth="1" min="3" max="3"/>
    <col width="12.42578125" bestFit="1" customWidth="1" min="4" max="4"/>
    <col width="23.85546875" bestFit="1" customWidth="1" min="5" max="5"/>
    <col width="12.42578125" bestFit="1" customWidth="1" min="6" max="6"/>
    <col width="25.7109375" bestFit="1" customWidth="1" min="7" max="7"/>
    <col width="11.140625" bestFit="1" customWidth="1" min="8" max="8"/>
    <col width="23.85546875" bestFit="1" customWidth="1" min="9" max="9"/>
    <col width="12.42578125" bestFit="1" customWidth="1" min="10" max="10"/>
    <col width="25.7109375" bestFit="1" customWidth="1" min="11" max="11"/>
    <col width="12.42578125" bestFit="1" customWidth="1" min="12" max="12"/>
    <col width="23.85546875" bestFit="1" customWidth="1" min="13" max="13"/>
    <col width="11.140625" customWidth="1" min="14" max="14"/>
    <col width="21.7109375" bestFit="1" customWidth="1" min="15" max="15"/>
    <col width="11.140625" bestFit="1" customWidth="1" min="16" max="16"/>
    <col width="23.85546875" bestFit="1" customWidth="1" min="17" max="17"/>
    <col width="12.42578125" bestFit="1" customWidth="1" min="18" max="18"/>
    <col width="25.7109375" bestFit="1" customWidth="1" min="19" max="19"/>
    <col width="12.42578125" bestFit="1" customWidth="1" min="20" max="20"/>
    <col width="23.85546875" bestFit="1" customWidth="1" min="21" max="21"/>
    <col width="12.42578125" bestFit="1" customWidth="1" min="22" max="22"/>
    <col width="23.85546875" bestFit="1" customWidth="1" min="23" max="23"/>
    <col width="12.42578125" bestFit="1" customWidth="1" min="24" max="24"/>
    <col width="23.85546875" bestFit="1" customWidth="1" min="25" max="25"/>
    <col width="15.28515625" bestFit="1" customWidth="1" min="26" max="26"/>
    <col width="25.7109375" bestFit="1" customWidth="1" min="27" max="27"/>
    <col width="12.42578125" bestFit="1" customWidth="1" min="28" max="28"/>
    <col width="23.85546875" bestFit="1" customWidth="1" min="29" max="29"/>
    <col width="12.42578125" bestFit="1" customWidth="1" min="30" max="30"/>
    <col width="25.7109375" bestFit="1" customWidth="1" min="31" max="31"/>
    <col width="11.140625" bestFit="1" customWidth="1" min="32" max="32"/>
    <col width="23.85546875" bestFit="1" customWidth="1" min="33" max="33"/>
  </cols>
  <sheetData>
    <row r="1" ht="73.5" customHeight="1" thickBot="1">
      <c r="A1" s="117" t="inlineStr">
        <is>
          <t>Кун</t>
        </is>
      </c>
      <c r="B1" s="93" t="inlineStr">
        <is>
          <t>Жами</t>
        </is>
      </c>
      <c r="C1" s="118" t="n"/>
      <c r="D1" s="97" t="inlineStr">
        <is>
          <t>Чиптаҳоналардаги киоскалардан сотилган
 чипталар тўғрисида маълумотнома 01.07.2026-31.07.2026. йил.</t>
        </is>
      </c>
      <c r="E1" s="109" t="n"/>
      <c r="F1" s="109" t="n"/>
      <c r="G1" s="109" t="n"/>
      <c r="H1" s="109" t="n"/>
      <c r="I1" s="109" t="n"/>
      <c r="J1" s="109" t="n"/>
      <c r="K1" s="109" t="n"/>
      <c r="L1" s="109" t="n"/>
      <c r="M1" s="109" t="n"/>
      <c r="N1" s="109" t="n"/>
      <c r="O1" s="109" t="n"/>
      <c r="P1" s="109" t="n"/>
      <c r="Q1" s="109" t="n"/>
      <c r="R1" s="109" t="n"/>
      <c r="S1" s="109" t="n"/>
      <c r="T1" s="109" t="n"/>
      <c r="U1" s="109" t="n"/>
      <c r="V1" s="109" t="n"/>
      <c r="W1" s="109" t="n"/>
      <c r="X1" s="109" t="n"/>
      <c r="Y1" s="109" t="n"/>
      <c r="Z1" s="109" t="n"/>
      <c r="AA1" s="109" t="n"/>
      <c r="AB1" s="109" t="n"/>
      <c r="AC1" s="109" t="n"/>
      <c r="AD1" s="109" t="n"/>
      <c r="AE1" s="109" t="n"/>
      <c r="AF1" s="109" t="n"/>
      <c r="AG1" s="110" t="n"/>
    </row>
    <row r="2" ht="26.25" customHeight="1" thickBot="1">
      <c r="A2" s="119" t="n"/>
      <c r="B2" s="120" t="n"/>
      <c r="C2" s="121" t="n"/>
      <c r="D2" s="86" t="inlineStr">
        <is>
          <t>Андижон</t>
        </is>
      </c>
      <c r="E2" s="118" t="n"/>
      <c r="F2" s="86" t="inlineStr">
        <is>
          <t>Бухоро</t>
        </is>
      </c>
      <c r="G2" s="118" t="n"/>
      <c r="H2" s="86" t="inlineStr">
        <is>
          <t>Хива</t>
        </is>
      </c>
      <c r="I2" s="118" t="n"/>
      <c r="J2" s="88" t="inlineStr">
        <is>
          <t>Тошкент Жанубий</t>
        </is>
      </c>
      <c r="K2" s="118" t="n"/>
      <c r="L2" s="86" t="inlineStr">
        <is>
          <t>Марғилон</t>
        </is>
      </c>
      <c r="M2" s="118" t="n"/>
      <c r="N2" s="122" t="inlineStr">
        <is>
          <t>Навои</t>
        </is>
      </c>
      <c r="O2" s="123" t="n"/>
      <c r="P2" s="86" t="inlineStr">
        <is>
          <t>Наманган</t>
        </is>
      </c>
      <c r="Q2" s="118" t="n"/>
      <c r="R2" s="86" t="inlineStr">
        <is>
          <t>Нукус</t>
        </is>
      </c>
      <c r="S2" s="118" t="n"/>
      <c r="T2" s="86" t="inlineStr">
        <is>
          <t>Қарши</t>
        </is>
      </c>
      <c r="U2" s="118" t="n"/>
      <c r="V2" s="86" t="inlineStr">
        <is>
          <t>Қўнғирод</t>
        </is>
      </c>
      <c r="W2" s="118" t="n"/>
      <c r="X2" s="88" t="inlineStr">
        <is>
          <t>Қўқон</t>
        </is>
      </c>
      <c r="Y2" s="118" t="n"/>
      <c r="Z2" s="88" t="inlineStr">
        <is>
          <t>Самарқанд</t>
        </is>
      </c>
      <c r="AA2" s="118" t="n"/>
      <c r="AB2" s="86" t="inlineStr">
        <is>
          <t>Термиз</t>
        </is>
      </c>
      <c r="AC2" s="118" t="n"/>
      <c r="AD2" s="86" t="inlineStr">
        <is>
          <t>Тошкент Марказий</t>
        </is>
      </c>
      <c r="AE2" s="118" t="n"/>
      <c r="AF2" s="86" t="inlineStr">
        <is>
          <t>Урганч</t>
        </is>
      </c>
      <c r="AG2" s="118" t="n"/>
    </row>
    <row r="3" ht="26.25" customHeight="1" thickBot="1">
      <c r="A3" s="116" t="n"/>
      <c r="B3" s="48" t="inlineStr">
        <is>
          <t>Сони</t>
        </is>
      </c>
      <c r="C3" s="51" t="inlineStr">
        <is>
          <t>Сумма</t>
        </is>
      </c>
      <c r="D3" s="63" t="inlineStr">
        <is>
          <t>Сони</t>
        </is>
      </c>
      <c r="E3" s="87" t="inlineStr">
        <is>
          <t>Сумма</t>
        </is>
      </c>
      <c r="F3" s="63" t="inlineStr">
        <is>
          <t>Сони</t>
        </is>
      </c>
      <c r="G3" s="87" t="inlineStr">
        <is>
          <t>Сумма</t>
        </is>
      </c>
      <c r="H3" s="86" t="inlineStr">
        <is>
          <t>Сони</t>
        </is>
      </c>
      <c r="I3" s="87" t="inlineStr">
        <is>
          <t>Сумма</t>
        </is>
      </c>
      <c r="J3" s="86" t="inlineStr">
        <is>
          <t>Сони</t>
        </is>
      </c>
      <c r="K3" s="87" t="inlineStr">
        <is>
          <t>Сумма</t>
        </is>
      </c>
      <c r="L3" s="86" t="inlineStr">
        <is>
          <t>Сони</t>
        </is>
      </c>
      <c r="M3" s="87" t="inlineStr">
        <is>
          <t>Сумма</t>
        </is>
      </c>
      <c r="N3" s="86" t="inlineStr">
        <is>
          <t>Сони</t>
        </is>
      </c>
      <c r="O3" s="87" t="inlineStr">
        <is>
          <t>Сумма</t>
        </is>
      </c>
      <c r="P3" s="86" t="inlineStr">
        <is>
          <t>Сони</t>
        </is>
      </c>
      <c r="Q3" s="87" t="inlineStr">
        <is>
          <t>Сумма</t>
        </is>
      </c>
      <c r="R3" s="86" t="inlineStr">
        <is>
          <t>Сони</t>
        </is>
      </c>
      <c r="S3" s="87" t="inlineStr">
        <is>
          <t>Сумма</t>
        </is>
      </c>
      <c r="T3" s="86" t="inlineStr">
        <is>
          <t>Сони</t>
        </is>
      </c>
      <c r="U3" s="87" t="inlineStr">
        <is>
          <t>Сумма</t>
        </is>
      </c>
      <c r="V3" s="86" t="inlineStr">
        <is>
          <t>Сони</t>
        </is>
      </c>
      <c r="W3" s="87" t="inlineStr">
        <is>
          <t>Сумма</t>
        </is>
      </c>
      <c r="X3" s="88" t="inlineStr">
        <is>
          <t>Сони</t>
        </is>
      </c>
      <c r="Y3" s="89" t="inlineStr">
        <is>
          <t>Сумма</t>
        </is>
      </c>
      <c r="Z3" s="88" t="inlineStr">
        <is>
          <t>Сони</t>
        </is>
      </c>
      <c r="AA3" s="89" t="inlineStr">
        <is>
          <t>Сумма</t>
        </is>
      </c>
      <c r="AB3" s="88" t="inlineStr">
        <is>
          <t>Сони</t>
        </is>
      </c>
      <c r="AC3" s="89" t="inlineStr">
        <is>
          <t>Сумма</t>
        </is>
      </c>
      <c r="AD3" s="88" t="inlineStr">
        <is>
          <t>Сони</t>
        </is>
      </c>
      <c r="AE3" s="89" t="inlineStr">
        <is>
          <t>Сумма</t>
        </is>
      </c>
      <c r="AF3" s="88" t="inlineStr">
        <is>
          <t>Сони</t>
        </is>
      </c>
      <c r="AG3" s="89" t="inlineStr">
        <is>
          <t>Сумма</t>
        </is>
      </c>
    </row>
    <row r="4" ht="21" customHeight="1" thickBot="1">
      <c r="A4" s="49" t="n">
        <v>46204</v>
      </c>
      <c r="B4" s="52">
        <f>D4+F4+H4+J4+L4+N4+P4+R4+T4+V4+X4+Z4+AB4+AD4+AF4</f>
        <v/>
      </c>
      <c r="C4" s="53">
        <f>E4+G4+I4+K4+M4+O4+Q4+S4+U4+W4+Y4+AA4+AC4+AE4+AG4</f>
        <v/>
      </c>
      <c r="D4" s="6" t="n">
        <v>9</v>
      </c>
      <c r="E4" s="7" t="n">
        <v>1755360</v>
      </c>
      <c r="F4" s="54" t="n">
        <v>23</v>
      </c>
      <c r="G4" s="55" t="n">
        <v>7135040</v>
      </c>
      <c r="H4" s="6" t="n">
        <v>0</v>
      </c>
      <c r="I4" s="7" t="n">
        <v>0</v>
      </c>
      <c r="J4" s="54" t="n">
        <v>6</v>
      </c>
      <c r="K4" s="55" t="n">
        <v>1233440</v>
      </c>
      <c r="L4" s="6" t="n">
        <v>17</v>
      </c>
      <c r="M4" s="7" t="n">
        <v>3712560</v>
      </c>
      <c r="N4" s="6" t="n">
        <v>22</v>
      </c>
      <c r="O4" s="7" t="n">
        <v>6517000</v>
      </c>
      <c r="P4" s="6" t="n">
        <v>4</v>
      </c>
      <c r="Q4" s="7" t="n">
        <v>676170</v>
      </c>
      <c r="R4" s="6" t="n">
        <v>9</v>
      </c>
      <c r="S4" s="7" t="n">
        <v>3385780</v>
      </c>
      <c r="T4" s="6" t="n">
        <v>6</v>
      </c>
      <c r="U4" s="7" t="n">
        <v>1200840</v>
      </c>
      <c r="V4" s="6" t="n">
        <v>7</v>
      </c>
      <c r="W4" s="7" t="n">
        <v>2684770</v>
      </c>
      <c r="X4" s="6" t="n">
        <v>3</v>
      </c>
      <c r="Y4" s="7" t="n">
        <v>686950</v>
      </c>
      <c r="Z4" s="6" t="n">
        <v>18</v>
      </c>
      <c r="AA4" s="7" t="n">
        <v>4444420</v>
      </c>
      <c r="AB4" s="6" t="n">
        <v>19</v>
      </c>
      <c r="AC4" s="7" t="n">
        <v>4542460</v>
      </c>
      <c r="AD4" s="6" t="n">
        <v>7</v>
      </c>
      <c r="AE4" s="7" t="n">
        <v>2975140</v>
      </c>
      <c r="AF4" s="6" t="n">
        <v>6</v>
      </c>
      <c r="AG4" s="7" t="n">
        <v>1703310</v>
      </c>
    </row>
    <row r="5" ht="21" customHeight="1" thickBot="1">
      <c r="A5" s="49" t="n">
        <v>46205</v>
      </c>
      <c r="B5" s="52">
        <f>D5+F5+H5+J5+L5+N5+P5+R5+T5+V5+X5+Z5+AB5+AD5+AF5</f>
        <v/>
      </c>
      <c r="C5" s="53">
        <f>E5+G5+I5+K5+M5+O5+Q5+S5+U5+W5+Y5+AA5+AC5+AE5+AG5</f>
        <v/>
      </c>
      <c r="D5" s="6" t="n">
        <v>2</v>
      </c>
      <c r="E5" s="7" t="n">
        <v>381090</v>
      </c>
      <c r="F5" s="6" t="n">
        <v>16</v>
      </c>
      <c r="G5" s="7" t="n">
        <v>4211570</v>
      </c>
      <c r="H5" s="6" t="n">
        <v>0</v>
      </c>
      <c r="I5" s="7" t="n">
        <v>0</v>
      </c>
      <c r="J5" s="6" t="n">
        <v>15</v>
      </c>
      <c r="K5" s="7" t="n">
        <v>3219660</v>
      </c>
      <c r="L5" s="6" t="n">
        <v>18</v>
      </c>
      <c r="M5" s="7" t="n">
        <v>3800540</v>
      </c>
      <c r="N5" s="6" t="n">
        <v>1</v>
      </c>
      <c r="O5" s="7" t="n">
        <v>221800</v>
      </c>
      <c r="P5" s="6" t="n">
        <v>0</v>
      </c>
      <c r="Q5" s="7" t="n">
        <v>0</v>
      </c>
      <c r="R5" s="6" t="n">
        <v>1</v>
      </c>
      <c r="S5" s="7" t="n">
        <v>370190</v>
      </c>
      <c r="T5" s="6" t="n">
        <v>14</v>
      </c>
      <c r="U5" s="7" t="n">
        <v>4397180</v>
      </c>
      <c r="V5" s="6" t="n">
        <v>4</v>
      </c>
      <c r="W5" s="7" t="n">
        <v>1091760</v>
      </c>
      <c r="X5" s="6" t="n">
        <v>8</v>
      </c>
      <c r="Y5" s="7" t="n">
        <v>1408180</v>
      </c>
      <c r="Z5" s="6" t="n">
        <v>89</v>
      </c>
      <c r="AA5" s="7" t="n">
        <v>20273020</v>
      </c>
      <c r="AB5" s="6" t="n">
        <v>20</v>
      </c>
      <c r="AC5" s="7" t="n">
        <v>4010360</v>
      </c>
      <c r="AD5" s="6" t="n">
        <v>13</v>
      </c>
      <c r="AE5" s="7" t="n">
        <v>6675680</v>
      </c>
      <c r="AF5" s="6" t="n">
        <v>3</v>
      </c>
      <c r="AG5" s="7" t="n">
        <v>1045650</v>
      </c>
    </row>
    <row r="6" ht="21" customHeight="1" thickBot="1">
      <c r="A6" s="49" t="n">
        <v>46206</v>
      </c>
      <c r="B6" s="52">
        <f>D6+F6+H6+J6+L6+N6+P6+R6+T6+V6+X6+Z6+AB6+AD6+AF6</f>
        <v/>
      </c>
      <c r="C6" s="53">
        <f>E6+G6+I6+K6+M6+O6+Q6+S6+U6+W6+Y6+AA6+AC6+AE6+AG6</f>
        <v/>
      </c>
      <c r="D6" s="6" t="n">
        <v>12</v>
      </c>
      <c r="E6" s="7" t="n">
        <v>2171330</v>
      </c>
      <c r="F6" s="6" t="n">
        <v>24</v>
      </c>
      <c r="G6" s="7" t="n">
        <v>8425720</v>
      </c>
      <c r="H6" s="6" t="n">
        <v>0</v>
      </c>
      <c r="I6" s="7" t="n">
        <v>0</v>
      </c>
      <c r="J6" s="6" t="n">
        <v>5</v>
      </c>
      <c r="K6" s="7" t="n">
        <v>1387320</v>
      </c>
      <c r="L6" s="6" t="n">
        <v>20</v>
      </c>
      <c r="M6" s="7" t="n">
        <v>3782320</v>
      </c>
      <c r="N6" s="6" t="n"/>
      <c r="O6" s="59" t="n"/>
      <c r="P6" s="6" t="n">
        <v>0</v>
      </c>
      <c r="Q6" s="7" t="n">
        <v>0</v>
      </c>
      <c r="R6" s="6" t="n">
        <v>12</v>
      </c>
      <c r="S6" s="7" t="n">
        <v>3141390</v>
      </c>
      <c r="T6" s="6" t="n">
        <v>18</v>
      </c>
      <c r="U6" s="7" t="n">
        <v>4605020</v>
      </c>
      <c r="V6" s="6" t="n">
        <v>3</v>
      </c>
      <c r="W6" s="7" t="n">
        <v>1060240</v>
      </c>
      <c r="X6" s="6" t="n">
        <v>0</v>
      </c>
      <c r="Y6" s="7" t="n">
        <v>0</v>
      </c>
      <c r="Z6" s="6" t="n">
        <v>43</v>
      </c>
      <c r="AA6" s="7" t="n">
        <v>11594890</v>
      </c>
      <c r="AB6" s="6" t="n">
        <v>44</v>
      </c>
      <c r="AC6" s="7" t="n">
        <v>11465540</v>
      </c>
      <c r="AD6" s="6" t="n">
        <v>1</v>
      </c>
      <c r="AE6" s="7" t="n">
        <v>245140</v>
      </c>
      <c r="AF6" s="6" t="n">
        <v>10</v>
      </c>
      <c r="AG6" s="7" t="n">
        <v>2289210</v>
      </c>
    </row>
    <row r="7" ht="21" customHeight="1" thickBot="1">
      <c r="A7" s="49" t="n">
        <v>46207</v>
      </c>
      <c r="B7" s="52">
        <f>D7+F7+H7+J7+L7+N7+P7+R7+T7+V7+X7+Z7+AB7+AD7+AF7</f>
        <v/>
      </c>
      <c r="C7" s="53">
        <f>E7+G7+I7+K7+M7+O7+Q7+S7+U7+W7+Y7+AA7+AC7+AE7+AG7</f>
        <v/>
      </c>
      <c r="D7" s="6" t="n">
        <v>17</v>
      </c>
      <c r="E7" s="7" t="n">
        <v>4850170</v>
      </c>
      <c r="F7" s="6" t="n">
        <v>25</v>
      </c>
      <c r="G7" s="7" t="n">
        <v>7521400</v>
      </c>
      <c r="H7" s="6" t="n">
        <v>6</v>
      </c>
      <c r="I7" s="7" t="n">
        <v>1428200</v>
      </c>
      <c r="J7" s="6" t="n">
        <v>3</v>
      </c>
      <c r="K7" s="7" t="n">
        <v>733920</v>
      </c>
      <c r="L7" s="6" t="n">
        <v>21</v>
      </c>
      <c r="M7" s="7" t="n">
        <v>5518020</v>
      </c>
      <c r="N7" s="6" t="n">
        <v>1</v>
      </c>
      <c r="O7" s="59" t="n">
        <v>171090</v>
      </c>
      <c r="P7" s="6" t="n">
        <v>0</v>
      </c>
      <c r="Q7" s="7" t="n">
        <v>0</v>
      </c>
      <c r="R7" s="6" t="n">
        <v>4</v>
      </c>
      <c r="S7" s="7" t="n">
        <v>1654860</v>
      </c>
      <c r="T7" s="6" t="n">
        <v>7</v>
      </c>
      <c r="U7" s="7" t="n">
        <v>1474550</v>
      </c>
      <c r="V7" s="6" t="n">
        <v>9</v>
      </c>
      <c r="W7" s="7" t="n">
        <v>2963820</v>
      </c>
      <c r="X7" s="6" t="n">
        <v>11</v>
      </c>
      <c r="Y7" s="7" t="n">
        <v>1929860</v>
      </c>
      <c r="Z7" s="6" t="n">
        <v>43</v>
      </c>
      <c r="AA7" s="7" t="n">
        <v>11830420</v>
      </c>
      <c r="AB7" s="6" t="n">
        <v>0</v>
      </c>
      <c r="AC7" s="7" t="n">
        <v>0</v>
      </c>
      <c r="AD7" s="6" t="n">
        <v>14</v>
      </c>
      <c r="AE7" s="7" t="n">
        <v>4579580</v>
      </c>
      <c r="AF7" s="6" t="n">
        <v>11</v>
      </c>
      <c r="AG7" s="7" t="n">
        <v>3885290</v>
      </c>
    </row>
    <row r="8" ht="21" customHeight="1" thickBot="1">
      <c r="A8" s="49" t="n">
        <v>46208</v>
      </c>
      <c r="B8" s="52">
        <f>D8+F8+H8+J8+L8+N8+P8+R8+T8+V8+X8+Z8+AB8+AD8+AF8</f>
        <v/>
      </c>
      <c r="C8" s="53">
        <f>E8+G8+I8+K8+M8+O8+Q8+S8+U8+W8+Y8+AA8+AC8+AE8+AG8</f>
        <v/>
      </c>
      <c r="D8" s="6" t="n">
        <v>3</v>
      </c>
      <c r="E8" s="7" t="n">
        <v>727500</v>
      </c>
      <c r="F8" s="6" t="n">
        <v>9</v>
      </c>
      <c r="G8" s="7" t="n">
        <v>2606550</v>
      </c>
      <c r="H8" s="6" t="n">
        <v>6</v>
      </c>
      <c r="I8" s="7" t="n">
        <v>2130930</v>
      </c>
      <c r="J8" s="6" t="n">
        <v>0</v>
      </c>
      <c r="K8" s="7" t="n">
        <v>0</v>
      </c>
      <c r="L8" s="6" t="n">
        <v>3</v>
      </c>
      <c r="M8" s="7" t="n">
        <v>587220</v>
      </c>
      <c r="N8" s="6" t="n">
        <v>0</v>
      </c>
      <c r="O8" s="7" t="n">
        <v>0</v>
      </c>
      <c r="P8" s="6" t="n">
        <v>0</v>
      </c>
      <c r="Q8" s="7" t="n">
        <v>0</v>
      </c>
      <c r="R8" s="6" t="n">
        <v>0</v>
      </c>
      <c r="S8" s="7" t="n">
        <v>0</v>
      </c>
      <c r="T8" s="6" t="n">
        <v>3</v>
      </c>
      <c r="U8" s="7" t="n">
        <v>739650</v>
      </c>
      <c r="V8" s="6" t="n">
        <v>9</v>
      </c>
      <c r="W8" s="7" t="n">
        <v>4468810</v>
      </c>
      <c r="X8" s="6" t="n">
        <v>6</v>
      </c>
      <c r="Y8" s="7" t="n">
        <v>1314690</v>
      </c>
      <c r="Z8" s="6" t="n">
        <v>28</v>
      </c>
      <c r="AA8" s="7" t="n">
        <v>7260970</v>
      </c>
      <c r="AB8" s="6" t="n">
        <v>17</v>
      </c>
      <c r="AC8" s="7" t="n">
        <v>4104780</v>
      </c>
      <c r="AD8" s="6" t="n">
        <v>6</v>
      </c>
      <c r="AE8" s="7" t="n">
        <v>2637120</v>
      </c>
      <c r="AF8" s="6" t="n">
        <v>0</v>
      </c>
      <c r="AG8" s="7" t="n">
        <v>0</v>
      </c>
    </row>
    <row r="9" ht="21" customHeight="1" thickBot="1">
      <c r="A9" s="49" t="n">
        <v>46209</v>
      </c>
      <c r="B9" s="52">
        <f>D9+F9+H9+J9+L9+N9+P9+R9+T9+V9+X9+Z9+AB9+AD9+AF9</f>
        <v/>
      </c>
      <c r="C9" s="53">
        <f>E9+G9+I9+K9+M9+O9+Q9+S9+U9+W9+Y9+AA9+AC9+AE9+AG9</f>
        <v/>
      </c>
      <c r="D9" s="6" t="n">
        <v>16</v>
      </c>
      <c r="E9" s="7" t="n">
        <v>3561950</v>
      </c>
      <c r="F9" s="6" t="n">
        <v>42</v>
      </c>
      <c r="G9" s="7" t="n">
        <v>9585300</v>
      </c>
      <c r="H9" s="6" t="n">
        <v>1</v>
      </c>
      <c r="I9" s="7" t="n">
        <v>192310</v>
      </c>
      <c r="J9" s="6" t="n">
        <v>3</v>
      </c>
      <c r="K9" s="7" t="n">
        <v>699880</v>
      </c>
      <c r="L9" s="6" t="n">
        <v>6</v>
      </c>
      <c r="M9" s="7" t="n">
        <v>1296000</v>
      </c>
      <c r="N9" s="6" t="n">
        <v>0</v>
      </c>
      <c r="O9" s="7" t="n">
        <v>0</v>
      </c>
      <c r="P9" s="6" t="n">
        <v>9</v>
      </c>
      <c r="Q9" s="7" t="n">
        <v>1869780</v>
      </c>
      <c r="R9" s="6" t="n">
        <v>6</v>
      </c>
      <c r="S9" s="7" t="n">
        <v>2388340</v>
      </c>
      <c r="T9" s="6" t="n">
        <v>15</v>
      </c>
      <c r="U9" s="7" t="n">
        <v>3997470</v>
      </c>
      <c r="V9" s="6" t="n">
        <v>1</v>
      </c>
      <c r="W9" s="7" t="n">
        <v>553340</v>
      </c>
      <c r="X9" s="6" t="n">
        <v>11</v>
      </c>
      <c r="Y9" s="7" t="n">
        <v>2288800</v>
      </c>
      <c r="Z9" s="6" t="n">
        <v>84</v>
      </c>
      <c r="AA9" s="7" t="n">
        <v>19893780</v>
      </c>
      <c r="AB9" s="6" t="n">
        <v>8</v>
      </c>
      <c r="AC9" s="7" t="n">
        <v>1689610</v>
      </c>
      <c r="AD9" s="6" t="n">
        <v>7</v>
      </c>
      <c r="AE9" s="7" t="n">
        <v>2812350</v>
      </c>
      <c r="AF9" s="6" t="n">
        <v>1</v>
      </c>
      <c r="AG9" s="7" t="n">
        <v>245140</v>
      </c>
    </row>
    <row r="10" ht="21" customHeight="1" thickBot="1">
      <c r="A10" s="49" t="n">
        <v>46210</v>
      </c>
      <c r="B10" s="52">
        <f>D10+F10+H10+J10+L10+N10+P10+R10+T10+V10+X10+Z10+AB10+AD10+AF10</f>
        <v/>
      </c>
      <c r="C10" s="53">
        <f>E10+G10+I10+K10+M10+O10+Q10+S10+U10+W10+Y10+AA10+AC10+AE10+AG10</f>
        <v/>
      </c>
      <c r="D10" s="6" t="n">
        <v>37</v>
      </c>
      <c r="E10" s="7" t="n">
        <v>8375800</v>
      </c>
      <c r="F10" s="6" t="n">
        <v>26</v>
      </c>
      <c r="G10" s="7" t="n">
        <v>8208270</v>
      </c>
      <c r="H10" s="6" t="n">
        <v>0</v>
      </c>
      <c r="I10" s="7" t="n">
        <v>0</v>
      </c>
      <c r="J10" s="6" t="n">
        <v>8</v>
      </c>
      <c r="K10" s="7" t="n">
        <v>1877270</v>
      </c>
      <c r="L10" s="6" t="n">
        <v>25</v>
      </c>
      <c r="M10" s="7" t="n">
        <v>5360680</v>
      </c>
      <c r="N10" s="6" t="n">
        <v>1</v>
      </c>
      <c r="O10" s="59" t="n">
        <v>429000</v>
      </c>
      <c r="P10" s="6" t="n">
        <v>5</v>
      </c>
      <c r="Q10" s="7" t="n">
        <v>680500</v>
      </c>
      <c r="R10" s="6" t="n">
        <v>5</v>
      </c>
      <c r="S10" s="7" t="n">
        <v>1212430</v>
      </c>
      <c r="T10" s="6" t="n">
        <v>7</v>
      </c>
      <c r="U10" s="7" t="n">
        <v>1855540</v>
      </c>
      <c r="V10" s="6" t="n">
        <v>2</v>
      </c>
      <c r="W10" s="7" t="n">
        <v>1160060</v>
      </c>
      <c r="X10" s="6" t="n">
        <v>14</v>
      </c>
      <c r="Y10" s="7" t="n">
        <v>2503310</v>
      </c>
      <c r="Z10" s="6" t="n">
        <v>93</v>
      </c>
      <c r="AA10" s="7" t="n">
        <v>22902400</v>
      </c>
      <c r="AB10" s="6" t="n">
        <v>6</v>
      </c>
      <c r="AC10" s="7" t="n">
        <v>1115620</v>
      </c>
      <c r="AD10" s="6" t="n">
        <v>4</v>
      </c>
      <c r="AE10" s="7" t="n">
        <v>1663360</v>
      </c>
      <c r="AF10" s="6" t="n">
        <v>2</v>
      </c>
      <c r="AG10" s="7" t="n">
        <v>3779320</v>
      </c>
    </row>
    <row r="11" ht="21" customHeight="1" thickBot="1">
      <c r="A11" s="49" t="n">
        <v>46211</v>
      </c>
      <c r="B11" s="52">
        <f>D11+F11+H11+J11+L11+N11+P11+R11+T11+V11+X11+Z11+AB11+AD11+AF11</f>
        <v/>
      </c>
      <c r="C11" s="53">
        <f>E11+G11+I11+K11+M11+O11+Q11+S11+U11+W11+Y11+AA11+AC11+AE11+AG11</f>
        <v/>
      </c>
      <c r="D11" s="6" t="n">
        <v>2</v>
      </c>
      <c r="E11" s="7" t="n">
        <v>462000</v>
      </c>
      <c r="F11" s="6" t="n">
        <v>22</v>
      </c>
      <c r="G11" s="7" t="n">
        <v>6971040</v>
      </c>
      <c r="H11" s="6" t="n">
        <v>0</v>
      </c>
      <c r="I11" s="7" t="n">
        <v>0</v>
      </c>
      <c r="J11" s="6" t="n">
        <v>3</v>
      </c>
      <c r="K11" s="7" t="n">
        <v>588290</v>
      </c>
      <c r="L11" s="6" t="n">
        <v>9</v>
      </c>
      <c r="M11" s="7" t="n">
        <v>2387870</v>
      </c>
      <c r="N11" s="6" t="n">
        <v>1</v>
      </c>
      <c r="O11" s="7" t="n">
        <v>429000</v>
      </c>
      <c r="P11" s="6" t="n">
        <v>0</v>
      </c>
      <c r="Q11" s="7" t="n">
        <v>0</v>
      </c>
      <c r="R11" s="6" t="n">
        <v>11</v>
      </c>
      <c r="S11" s="7" t="n">
        <v>5573280</v>
      </c>
      <c r="T11" s="6" t="n">
        <v>6</v>
      </c>
      <c r="U11" s="7" t="n">
        <v>1405660</v>
      </c>
      <c r="V11" s="6" t="n">
        <v>7</v>
      </c>
      <c r="W11" s="7" t="n">
        <v>2619900</v>
      </c>
      <c r="X11" s="6" t="n">
        <v>8</v>
      </c>
      <c r="Y11" s="7" t="n">
        <v>1871330</v>
      </c>
      <c r="Z11" s="6" t="n">
        <v>22</v>
      </c>
      <c r="AA11" s="7" t="n">
        <v>4073680</v>
      </c>
      <c r="AB11" s="6" t="n">
        <v>0</v>
      </c>
      <c r="AC11" s="7" t="n">
        <v>0</v>
      </c>
      <c r="AD11" s="6" t="n">
        <v>16</v>
      </c>
      <c r="AE11" s="7" t="n">
        <v>3449880</v>
      </c>
      <c r="AF11" s="6" t="n">
        <v>1</v>
      </c>
      <c r="AG11" s="7" t="n">
        <v>157100</v>
      </c>
    </row>
    <row r="12" ht="21" customHeight="1" thickBot="1">
      <c r="A12" s="49" t="n">
        <v>46212</v>
      </c>
      <c r="B12" s="52">
        <f>D12+F12+H12+J12+L12+N12+P12+R12+T12+V12+X12+Z12+AB12+AD12+AF12</f>
        <v/>
      </c>
      <c r="C12" s="53">
        <f>E12+G12+I12+K12+M12+O12+Q12+S12+U12+W12+Y12+AA12+AC12+AE12+AG12</f>
        <v/>
      </c>
      <c r="D12" s="6" t="n">
        <v>15</v>
      </c>
      <c r="E12" s="7" t="n">
        <v>3578200</v>
      </c>
      <c r="F12" s="6" t="n">
        <v>21</v>
      </c>
      <c r="G12" s="7" t="n">
        <v>6279080</v>
      </c>
      <c r="H12" s="6" t="n">
        <v>0</v>
      </c>
      <c r="I12" s="7" t="n">
        <v>0</v>
      </c>
      <c r="J12" s="6" t="n">
        <v>22</v>
      </c>
      <c r="K12" s="7" t="n">
        <v>4267160</v>
      </c>
      <c r="L12" s="6" t="n">
        <v>2</v>
      </c>
      <c r="M12" s="7" t="n">
        <v>342180</v>
      </c>
      <c r="N12" s="6" t="n">
        <v>1</v>
      </c>
      <c r="O12" s="7" t="n">
        <v>429000</v>
      </c>
      <c r="P12" s="6" t="n">
        <v>0</v>
      </c>
      <c r="Q12" s="7" t="n">
        <v>0</v>
      </c>
      <c r="R12" s="6" t="n">
        <v>7</v>
      </c>
      <c r="S12" s="7" t="n">
        <v>2915720</v>
      </c>
      <c r="T12" s="6" t="n">
        <v>17</v>
      </c>
      <c r="U12" s="7" t="n">
        <v>5719610</v>
      </c>
      <c r="V12" s="6" t="n">
        <v>9</v>
      </c>
      <c r="W12" s="7" t="n">
        <v>3514150</v>
      </c>
      <c r="X12" s="6" t="n">
        <v>12</v>
      </c>
      <c r="Y12" s="7" t="n">
        <v>2489600</v>
      </c>
      <c r="Z12" s="6" t="n">
        <v>41</v>
      </c>
      <c r="AA12" s="7" t="n">
        <v>9669290</v>
      </c>
      <c r="AB12" s="6" t="n">
        <v>3</v>
      </c>
      <c r="AC12" s="7" t="n">
        <v>597580</v>
      </c>
      <c r="AD12" s="6" t="n">
        <v>21</v>
      </c>
      <c r="AE12" s="7" t="n">
        <v>5223600</v>
      </c>
      <c r="AF12" s="6" t="n">
        <v>1</v>
      </c>
      <c r="AG12" s="7" t="n">
        <v>210660</v>
      </c>
    </row>
    <row r="13" ht="21" customHeight="1" thickBot="1">
      <c r="A13" s="49" t="n">
        <v>46213</v>
      </c>
      <c r="B13" s="52">
        <f>D13+F13+H13+J13+L13+N13+P13+R13+T13+V13+X13+Z13+AB13+AD13+AF13</f>
        <v/>
      </c>
      <c r="C13" s="53">
        <f>E13+G13+I13+K13+M13+O13+Q13+S13+U13+W13+Y13+AA13+AC13+AE13+AG13</f>
        <v/>
      </c>
      <c r="D13" s="6" t="n">
        <v>6</v>
      </c>
      <c r="E13" s="7" t="n">
        <v>1005930</v>
      </c>
      <c r="F13" s="6" t="n">
        <v>31</v>
      </c>
      <c r="G13" s="7" t="n">
        <v>8835840</v>
      </c>
      <c r="H13" s="6" t="n">
        <v>1</v>
      </c>
      <c r="I13" s="7" t="n">
        <v>192310</v>
      </c>
      <c r="J13" s="6" t="n">
        <v>6</v>
      </c>
      <c r="K13" s="7" t="n">
        <v>1184360</v>
      </c>
      <c r="L13" s="6" t="n">
        <v>2</v>
      </c>
      <c r="M13" s="7" t="n">
        <v>433400</v>
      </c>
      <c r="N13" s="6" t="n">
        <v>0</v>
      </c>
      <c r="O13" s="59" t="n">
        <v>0</v>
      </c>
      <c r="P13" s="6" t="n">
        <v>0</v>
      </c>
      <c r="Q13" s="59" t="n">
        <v>0</v>
      </c>
      <c r="R13" s="6" t="n">
        <v>9</v>
      </c>
      <c r="S13" s="59" t="n">
        <v>2846770</v>
      </c>
      <c r="T13" s="6" t="n">
        <v>26</v>
      </c>
      <c r="U13" s="7" t="n">
        <v>4794330</v>
      </c>
      <c r="V13" s="6" t="n">
        <v>6</v>
      </c>
      <c r="W13" s="7" t="n">
        <v>2232130</v>
      </c>
      <c r="X13" s="6" t="n">
        <v>7</v>
      </c>
      <c r="Y13" s="7" t="n">
        <v>1294720</v>
      </c>
      <c r="Z13" s="6" t="n">
        <v>130</v>
      </c>
      <c r="AA13" s="7" t="n">
        <v>35846200</v>
      </c>
      <c r="AB13" s="6" t="n">
        <v>8</v>
      </c>
      <c r="AC13" s="7" t="n">
        <v>2361790</v>
      </c>
      <c r="AD13" s="6" t="n">
        <v>9</v>
      </c>
      <c r="AE13" s="7" t="n">
        <v>3110370</v>
      </c>
      <c r="AF13" s="6" t="n">
        <v>0</v>
      </c>
      <c r="AG13" s="7" t="n">
        <v>0</v>
      </c>
    </row>
    <row r="14" ht="21" customHeight="1" thickBot="1">
      <c r="A14" s="49" t="n">
        <v>46214</v>
      </c>
      <c r="B14" s="52">
        <f>D14+F14+H14+J14+L14+N14+P14+R14+T14+V14+X14+Z14+AB14+AD14+AF14</f>
        <v/>
      </c>
      <c r="C14" s="53">
        <f>E14+G14+I14+K14+M14+O14+Q14+S14+U14+W14+Y14+AA14+AC14+AE14+AG14</f>
        <v/>
      </c>
      <c r="D14" s="6" t="n">
        <v>0</v>
      </c>
      <c r="E14" s="7" t="n">
        <v>0</v>
      </c>
      <c r="F14" s="6" t="n">
        <v>33</v>
      </c>
      <c r="G14" s="7" t="n">
        <v>9646150</v>
      </c>
      <c r="H14" s="6" t="n">
        <v>2</v>
      </c>
      <c r="I14" s="7" t="n">
        <v>384620</v>
      </c>
      <c r="J14" s="6" t="n">
        <v>3</v>
      </c>
      <c r="K14" s="7" t="n">
        <v>568440</v>
      </c>
      <c r="L14" s="6" t="n">
        <v>0</v>
      </c>
      <c r="M14" s="2" t="n">
        <v>0</v>
      </c>
      <c r="N14" s="6" t="n">
        <v>0</v>
      </c>
      <c r="O14" s="59" t="n">
        <v>0</v>
      </c>
      <c r="P14" s="6" t="n">
        <v>1</v>
      </c>
      <c r="Q14" s="59" t="n">
        <v>245140</v>
      </c>
      <c r="R14" s="6" t="n">
        <v>18</v>
      </c>
      <c r="S14" s="7" t="n">
        <v>9228200</v>
      </c>
      <c r="T14" s="6" t="n">
        <v>43</v>
      </c>
      <c r="U14" s="7" t="n">
        <v>9120240</v>
      </c>
      <c r="V14" s="6" t="n">
        <v>0</v>
      </c>
      <c r="W14" s="7" t="n">
        <v>0</v>
      </c>
      <c r="X14" s="6" t="n">
        <v>1</v>
      </c>
      <c r="Y14" s="7" t="n">
        <v>184960</v>
      </c>
      <c r="Z14" s="6" t="n">
        <v>93</v>
      </c>
      <c r="AA14" s="7" t="n">
        <v>19218750</v>
      </c>
      <c r="AB14" s="6" t="n">
        <v>18</v>
      </c>
      <c r="AC14" s="7" t="n">
        <v>4283280</v>
      </c>
      <c r="AD14" s="6" t="n">
        <v>8</v>
      </c>
      <c r="AE14" s="7" t="n">
        <v>3145180</v>
      </c>
      <c r="AF14" s="6" t="n">
        <v>0</v>
      </c>
      <c r="AG14" s="7" t="n">
        <v>0</v>
      </c>
    </row>
    <row r="15" ht="21" customHeight="1" thickBot="1">
      <c r="A15" s="49" t="n">
        <v>46215</v>
      </c>
      <c r="B15" s="52">
        <f>D15+F15+H15+J15+L15+N15+P15+R15+T15+V15+X15+Z15+AB15+AD15+AF15</f>
        <v/>
      </c>
      <c r="C15" s="53">
        <f>E15+G15+I15+K15+M15+O15+Q15+S15+U15+W15+Y15+AA15+AC15+AE15+AG15</f>
        <v/>
      </c>
      <c r="D15" s="6" t="n">
        <v>1</v>
      </c>
      <c r="E15" s="7" t="n">
        <v>258610</v>
      </c>
      <c r="F15" s="6" t="n">
        <v>20</v>
      </c>
      <c r="G15" s="7" t="n">
        <v>5883740</v>
      </c>
      <c r="H15" s="6" t="n">
        <v>7</v>
      </c>
      <c r="I15" s="7" t="n">
        <v>2336550</v>
      </c>
      <c r="J15" s="6" t="n">
        <v>0</v>
      </c>
      <c r="K15" s="7" t="n">
        <v>0</v>
      </c>
      <c r="L15" s="6" t="n">
        <v>4</v>
      </c>
      <c r="M15" s="7" t="n">
        <v>862600</v>
      </c>
      <c r="N15" s="6" t="n">
        <v>0</v>
      </c>
      <c r="O15" s="7" t="n">
        <v>0</v>
      </c>
      <c r="P15" s="6" t="n">
        <v>0</v>
      </c>
      <c r="Q15" s="7" t="n">
        <v>0</v>
      </c>
      <c r="R15" s="6" t="n">
        <v>0</v>
      </c>
      <c r="S15" s="7" t="n">
        <v>0</v>
      </c>
      <c r="T15" s="6" t="n">
        <v>6</v>
      </c>
      <c r="U15" s="7" t="n">
        <v>1208980</v>
      </c>
      <c r="V15" s="6" t="n">
        <v>3</v>
      </c>
      <c r="W15" s="7" t="n">
        <v>1189420</v>
      </c>
      <c r="X15" s="6" t="n">
        <v>0</v>
      </c>
      <c r="Y15" s="7" t="n">
        <v>0</v>
      </c>
      <c r="Z15" s="6" t="n">
        <v>18</v>
      </c>
      <c r="AA15" s="7" t="n">
        <v>5308020</v>
      </c>
      <c r="AB15" s="6" t="n">
        <v>0</v>
      </c>
      <c r="AC15" s="7" t="n">
        <v>0</v>
      </c>
      <c r="AD15" s="6" t="n">
        <v>5</v>
      </c>
      <c r="AE15" s="7" t="n">
        <v>1680740</v>
      </c>
      <c r="AF15" s="6" t="n">
        <v>0</v>
      </c>
      <c r="AG15" s="7" t="n">
        <v>0</v>
      </c>
    </row>
    <row r="16" ht="21" customHeight="1" thickBot="1">
      <c r="A16" s="49" t="n">
        <v>46216</v>
      </c>
      <c r="B16" s="52">
        <f>D16+F16+H16+J16+L16+N16+P16+R16+T16+V16+X16+Z16+AB16+AD16+AF16</f>
        <v/>
      </c>
      <c r="C16" s="53">
        <f>E16+G16+I16+K16+M16+O16+Q16+S16+U16+W16+Y16+AA16+AC16+AE16+AG16</f>
        <v/>
      </c>
      <c r="D16" s="6" t="n">
        <v>8</v>
      </c>
      <c r="E16" s="7" t="n">
        <v>1623360</v>
      </c>
      <c r="F16" s="6" t="n">
        <v>25</v>
      </c>
      <c r="G16" s="7" t="n">
        <v>6147510</v>
      </c>
      <c r="H16" s="6" t="n">
        <v>0</v>
      </c>
      <c r="I16" s="7" t="n">
        <v>0</v>
      </c>
      <c r="J16" s="6" t="n">
        <v>1</v>
      </c>
      <c r="K16" s="7" t="n">
        <v>114790</v>
      </c>
      <c r="L16" s="6" t="n">
        <v>0</v>
      </c>
      <c r="M16" s="7" t="n">
        <v>0</v>
      </c>
      <c r="N16" s="6" t="n">
        <v>0</v>
      </c>
      <c r="O16" s="7" t="n">
        <v>0</v>
      </c>
      <c r="P16" s="6" t="n">
        <v>1</v>
      </c>
      <c r="Q16" s="7" t="n">
        <v>177680</v>
      </c>
      <c r="R16" s="6" t="n">
        <v>5</v>
      </c>
      <c r="S16" s="7" t="n">
        <v>1266510</v>
      </c>
      <c r="T16" s="6" t="n">
        <v>0</v>
      </c>
      <c r="U16" s="7" t="n">
        <v>0</v>
      </c>
      <c r="V16" s="6" t="n">
        <v>3</v>
      </c>
      <c r="W16" s="7" t="n">
        <v>1057860</v>
      </c>
      <c r="X16" s="6" t="n">
        <v>24</v>
      </c>
      <c r="Y16" s="7" t="n">
        <v>5523120</v>
      </c>
      <c r="Z16" s="6" t="n">
        <v>40</v>
      </c>
      <c r="AA16" s="7" t="n">
        <v>10539730</v>
      </c>
      <c r="AB16" s="6" t="n">
        <v>1</v>
      </c>
      <c r="AC16" s="7" t="n">
        <v>245140</v>
      </c>
      <c r="AD16" s="6" t="n">
        <v>48</v>
      </c>
      <c r="AE16" s="7" t="n">
        <v>14733910</v>
      </c>
      <c r="AF16" s="6" t="n">
        <v>4</v>
      </c>
      <c r="AG16" s="7" t="n">
        <v>2730000</v>
      </c>
    </row>
    <row r="17" ht="21" customHeight="1" thickBot="1">
      <c r="A17" s="49" t="n">
        <v>46217</v>
      </c>
      <c r="B17" s="52">
        <f>D17+F17+H17+J17+L17+N17+P17+R17+T17+V17+X17+Z17+AB17+AD17+AF17</f>
        <v/>
      </c>
      <c r="C17" s="53">
        <f>E17+G17+I17+K17+M17+O17+Q17+S17+U17+W17+Y17+AA17+AC17+AE17+AG17</f>
        <v/>
      </c>
      <c r="D17" s="6" t="n">
        <v>12</v>
      </c>
      <c r="E17" s="7" t="n">
        <v>2242320</v>
      </c>
      <c r="F17" s="6" t="n">
        <v>39</v>
      </c>
      <c r="G17" s="7" t="n">
        <v>11783010</v>
      </c>
      <c r="H17" s="6" t="n">
        <v>6</v>
      </c>
      <c r="I17" s="7" t="n">
        <v>1926400</v>
      </c>
      <c r="J17" s="6" t="n">
        <v>1</v>
      </c>
      <c r="K17" s="7" t="n">
        <v>202920</v>
      </c>
      <c r="L17" s="6" t="n">
        <v>0</v>
      </c>
      <c r="M17" s="7" t="n">
        <v>0</v>
      </c>
      <c r="N17" s="6" t="n">
        <v>0</v>
      </c>
      <c r="O17" s="7" t="n">
        <v>0</v>
      </c>
      <c r="P17" s="6" t="n">
        <v>0</v>
      </c>
      <c r="Q17" s="7" t="n">
        <v>0</v>
      </c>
      <c r="R17" s="6" t="n">
        <v>4</v>
      </c>
      <c r="S17" s="7" t="n">
        <v>700300</v>
      </c>
      <c r="T17" s="6" t="n">
        <v>20</v>
      </c>
      <c r="U17" s="7" t="n">
        <v>4694630</v>
      </c>
      <c r="V17" s="6" t="n">
        <v>0</v>
      </c>
      <c r="W17" s="7" t="n">
        <v>0</v>
      </c>
      <c r="X17" s="6" t="n">
        <v>0</v>
      </c>
      <c r="Y17" s="7" t="n">
        <v>0</v>
      </c>
      <c r="Z17" s="6" t="n">
        <v>119</v>
      </c>
      <c r="AA17" s="7" t="n">
        <v>30906280</v>
      </c>
      <c r="AB17" s="6" t="n">
        <v>6</v>
      </c>
      <c r="AC17" s="7" t="n">
        <v>1760800</v>
      </c>
      <c r="AD17" s="6" t="n">
        <v>10</v>
      </c>
      <c r="AE17" s="7" t="n">
        <v>1403310</v>
      </c>
      <c r="AF17" s="6" t="n">
        <v>0</v>
      </c>
      <c r="AG17" s="7" t="n">
        <v>0</v>
      </c>
    </row>
    <row r="18" ht="21" customHeight="1" thickBot="1">
      <c r="A18" s="49" t="n">
        <v>46218</v>
      </c>
      <c r="B18" s="52">
        <f>D18+F18+H18+J18+L18+N18+P18+R18+T18+V18+X18+Z18+AB18+AD18+AF18</f>
        <v/>
      </c>
      <c r="C18" s="53">
        <f>E18+G18+I18+K18+M18+O18+Q18+S18+U18+W18+Y18+AA18+AC18+AE18+AG18</f>
        <v/>
      </c>
      <c r="D18" s="6" t="n">
        <v>16</v>
      </c>
      <c r="E18" s="7" t="n">
        <v>3505310</v>
      </c>
      <c r="F18" s="6" t="n">
        <v>30</v>
      </c>
      <c r="G18" s="7" t="n">
        <v>9413160</v>
      </c>
      <c r="H18" s="6" t="n">
        <v>0</v>
      </c>
      <c r="I18" s="7" t="n">
        <v>0</v>
      </c>
      <c r="J18" s="6" t="n">
        <v>2</v>
      </c>
      <c r="K18" s="7" t="n">
        <v>300180</v>
      </c>
      <c r="L18" s="6" t="n">
        <v>0</v>
      </c>
      <c r="M18" s="7" t="n">
        <v>0</v>
      </c>
      <c r="N18" s="6" t="n">
        <v>0</v>
      </c>
      <c r="O18" s="7" t="n">
        <v>0</v>
      </c>
      <c r="P18" s="6" t="n">
        <v>0</v>
      </c>
      <c r="Q18" s="7" t="n">
        <v>0</v>
      </c>
      <c r="R18" s="6" t="n">
        <v>0</v>
      </c>
      <c r="S18" s="7" t="n">
        <v>0</v>
      </c>
      <c r="T18" s="6" t="n">
        <v>14</v>
      </c>
      <c r="U18" s="7" t="n">
        <v>3695680</v>
      </c>
      <c r="V18" s="6" t="n">
        <v>0</v>
      </c>
      <c r="W18" s="7" t="n">
        <v>0</v>
      </c>
      <c r="X18" s="6" t="n">
        <v>5</v>
      </c>
      <c r="Y18" s="7" t="n">
        <v>1246700</v>
      </c>
      <c r="Z18" s="6" t="n">
        <v>43</v>
      </c>
      <c r="AA18" s="7" t="n">
        <v>10541620</v>
      </c>
      <c r="AB18" s="6" t="n">
        <v>6</v>
      </c>
      <c r="AC18" s="7" t="n">
        <v>1243940</v>
      </c>
      <c r="AD18" s="6" t="n">
        <v>9</v>
      </c>
      <c r="AE18" s="7" t="n">
        <v>3600250</v>
      </c>
      <c r="AF18" s="6" t="n">
        <v>0</v>
      </c>
      <c r="AG18" s="7" t="n">
        <v>0</v>
      </c>
    </row>
    <row r="19" ht="21" customHeight="1" thickBot="1">
      <c r="A19" s="49" t="n">
        <v>46219</v>
      </c>
      <c r="B19" s="52">
        <f>D19+F19+H19+J19+L19+N19+P19+R19+T19+V19+X19+Z19+AB19+AD19+AF19</f>
        <v/>
      </c>
      <c r="C19" s="53">
        <f>E19+G19+I19+K19+M19+O19+Q19+S19+U19+W19+Y19+AA19+AC19+AE19+AG19</f>
        <v/>
      </c>
      <c r="D19" s="6" t="n">
        <v>4</v>
      </c>
      <c r="E19" s="7" t="n">
        <v>952340</v>
      </c>
      <c r="F19" s="6" t="n">
        <v>11</v>
      </c>
      <c r="G19" s="7" t="n">
        <v>3443380</v>
      </c>
      <c r="H19" s="6" t="n">
        <v>0</v>
      </c>
      <c r="I19" s="7" t="n">
        <v>0</v>
      </c>
      <c r="J19" s="6" t="n">
        <v>0</v>
      </c>
      <c r="K19" s="7" t="n">
        <v>0</v>
      </c>
      <c r="L19" s="6" t="n">
        <v>0</v>
      </c>
      <c r="M19" s="7" t="n">
        <v>0</v>
      </c>
      <c r="N19" s="6" t="n">
        <v>0</v>
      </c>
      <c r="O19" s="59" t="n">
        <v>0</v>
      </c>
      <c r="P19" s="6" t="n">
        <v>1</v>
      </c>
      <c r="Q19" s="7" t="n">
        <v>136100</v>
      </c>
      <c r="R19" s="6" t="n">
        <v>4</v>
      </c>
      <c r="S19" s="7" t="n">
        <v>1096360</v>
      </c>
      <c r="T19" s="6" t="n">
        <v>7</v>
      </c>
      <c r="U19" s="7" t="n">
        <v>1830970</v>
      </c>
      <c r="V19" s="6" t="n">
        <v>4</v>
      </c>
      <c r="W19" s="7" t="n">
        <v>1547910</v>
      </c>
      <c r="X19" s="6" t="n">
        <v>4</v>
      </c>
      <c r="Y19" s="7" t="n">
        <v>909050</v>
      </c>
      <c r="Z19" s="6" t="n">
        <v>61</v>
      </c>
      <c r="AA19" s="7" t="n">
        <v>15774060</v>
      </c>
      <c r="AB19" s="6" t="n">
        <v>3</v>
      </c>
      <c r="AC19" s="7" t="n">
        <v>621600</v>
      </c>
      <c r="AD19" s="6" t="n">
        <v>15</v>
      </c>
      <c r="AE19" s="7" t="n">
        <v>5805470</v>
      </c>
      <c r="AF19" s="6" t="n">
        <v>0</v>
      </c>
      <c r="AG19" s="7" t="n">
        <v>0</v>
      </c>
    </row>
    <row r="20" ht="21" customHeight="1" thickBot="1">
      <c r="A20" s="49" t="n">
        <v>46220</v>
      </c>
      <c r="B20" s="52">
        <f>D20+F20+H20+J20+L20+N20+P20+R20+T20+V20+X20+Z20+AB20+AD20+AF20</f>
        <v/>
      </c>
      <c r="C20" s="53">
        <f>E20+G20+I20+K20+M20+O20+Q20+S20+U20+W20+Y20+AA20+AC20+AE20+AG20</f>
        <v/>
      </c>
      <c r="D20" s="6" t="n">
        <v>5</v>
      </c>
      <c r="E20" s="7" t="n">
        <v>859400</v>
      </c>
      <c r="F20" s="6" t="n">
        <v>34</v>
      </c>
      <c r="G20" s="7" t="n">
        <v>12944630</v>
      </c>
      <c r="H20" s="6" t="n">
        <v>0</v>
      </c>
      <c r="I20" s="7" t="n">
        <v>0</v>
      </c>
      <c r="J20" s="6" t="n">
        <v>7</v>
      </c>
      <c r="K20" s="7" t="n">
        <v>1828380</v>
      </c>
      <c r="L20" s="6" t="n">
        <v>2</v>
      </c>
      <c r="M20" s="7" t="n">
        <v>300180</v>
      </c>
      <c r="N20" s="6" t="n">
        <v>0</v>
      </c>
      <c r="O20" s="7" t="n">
        <v>0</v>
      </c>
      <c r="P20" s="6" t="n">
        <v>0</v>
      </c>
      <c r="Q20" s="7" t="n">
        <v>0</v>
      </c>
      <c r="R20" s="6" t="n">
        <v>2</v>
      </c>
      <c r="S20" s="7" t="n">
        <v>355980</v>
      </c>
      <c r="T20" s="6" t="n">
        <v>24</v>
      </c>
      <c r="U20" s="7" t="n">
        <v>5153910</v>
      </c>
      <c r="V20" s="6" t="n">
        <v>11</v>
      </c>
      <c r="W20" s="7" t="n">
        <v>2729660</v>
      </c>
      <c r="X20" s="6" t="n">
        <v>7</v>
      </c>
      <c r="Y20" s="7" t="n">
        <v>1289620</v>
      </c>
      <c r="Z20" s="6" t="n">
        <v>21</v>
      </c>
      <c r="AA20" s="7" t="n">
        <v>4393810</v>
      </c>
      <c r="AB20" s="6" t="n">
        <v>9</v>
      </c>
      <c r="AC20" s="7" t="n">
        <v>3078970</v>
      </c>
      <c r="AD20" s="6" t="n">
        <v>0</v>
      </c>
      <c r="AE20" s="7" t="n">
        <v>0</v>
      </c>
      <c r="AF20" s="6" t="n">
        <v>0</v>
      </c>
      <c r="AG20" s="7" t="n">
        <v>0</v>
      </c>
    </row>
    <row r="21" ht="21" customHeight="1" thickBot="1">
      <c r="A21" s="49" t="n">
        <v>46221</v>
      </c>
      <c r="B21" s="52">
        <f>D21+F21+H21+J21+L21+N21+P21+R21+T21+V21+X21+Z21+AB21+AD21+AF21</f>
        <v/>
      </c>
      <c r="C21" s="53">
        <f>E21+G21+I21+K21+M21+O21+Q21+S21+U21+W21+Y21+AA21+AC21+AE21+AG21</f>
        <v/>
      </c>
      <c r="D21" s="6" t="n">
        <v>6</v>
      </c>
      <c r="E21" s="7" t="n">
        <v>1278840</v>
      </c>
      <c r="F21" s="6" t="n">
        <v>23</v>
      </c>
      <c r="G21" s="7" t="n">
        <v>6716140</v>
      </c>
      <c r="H21" s="6" t="n">
        <v>0</v>
      </c>
      <c r="I21" s="7" t="n">
        <v>0</v>
      </c>
      <c r="J21" s="6" t="n">
        <v>1</v>
      </c>
      <c r="K21" s="7" t="n">
        <v>429000</v>
      </c>
      <c r="L21" s="6" t="n">
        <v>2</v>
      </c>
      <c r="M21" s="7" t="n">
        <v>464100</v>
      </c>
      <c r="N21" s="6" t="n">
        <v>0</v>
      </c>
      <c r="O21" s="7" t="n">
        <v>0</v>
      </c>
      <c r="P21" s="6" t="n">
        <v>0</v>
      </c>
      <c r="Q21" s="7" t="n">
        <v>0</v>
      </c>
      <c r="R21" s="6" t="n">
        <v>6</v>
      </c>
      <c r="S21" s="7" t="n">
        <v>1461490</v>
      </c>
      <c r="T21" s="6" t="n">
        <v>11</v>
      </c>
      <c r="U21" s="7" t="n">
        <v>2692040</v>
      </c>
      <c r="V21" s="6" t="n">
        <v>0</v>
      </c>
      <c r="W21" s="7" t="n">
        <v>0</v>
      </c>
      <c r="X21" s="6" t="n">
        <v>3</v>
      </c>
      <c r="Y21" s="7" t="n">
        <v>1013320</v>
      </c>
      <c r="Z21" s="6" t="n">
        <v>48</v>
      </c>
      <c r="AA21" s="7" t="n">
        <v>14056360</v>
      </c>
      <c r="AB21" s="6" t="n">
        <v>2</v>
      </c>
      <c r="AC21" s="7" t="n">
        <v>608420</v>
      </c>
      <c r="AD21" s="6" t="n">
        <v>8</v>
      </c>
      <c r="AE21" s="7" t="n">
        <v>2516240</v>
      </c>
      <c r="AF21" s="6" t="n">
        <v>0</v>
      </c>
      <c r="AG21" s="7" t="n">
        <v>0</v>
      </c>
    </row>
    <row r="22" ht="21" customHeight="1" thickBot="1">
      <c r="A22" s="49" t="n">
        <v>46222</v>
      </c>
      <c r="B22" s="52">
        <f>D22+F22+H22+J22+L22+N22+P22+R22+T22+V22+X22+Z22+AB22+AD22+AF22</f>
        <v/>
      </c>
      <c r="C22" s="53">
        <f>E22+G22+I22+K22+M22+O22+Q22+S22+U22+W22+Y22+AA22+AC22+AE22+AG22</f>
        <v/>
      </c>
      <c r="D22" s="6" t="n">
        <v>7</v>
      </c>
      <c r="E22" s="7" t="n">
        <v>1106130</v>
      </c>
      <c r="F22" s="6" t="n">
        <v>24</v>
      </c>
      <c r="G22" s="7" t="n">
        <v>7365220</v>
      </c>
      <c r="H22" s="6" t="n">
        <v>0</v>
      </c>
      <c r="I22" s="7" t="n">
        <v>0</v>
      </c>
      <c r="J22" s="6" t="n">
        <v>0</v>
      </c>
      <c r="K22" s="7" t="n">
        <v>0</v>
      </c>
      <c r="L22" s="6" t="n">
        <v>2</v>
      </c>
      <c r="M22" s="7" t="n">
        <v>855830</v>
      </c>
      <c r="N22" s="6" t="n">
        <v>0</v>
      </c>
      <c r="O22" s="7" t="n">
        <v>0</v>
      </c>
      <c r="P22" s="6" t="n">
        <v>0</v>
      </c>
      <c r="Q22" s="7" t="n">
        <v>0</v>
      </c>
      <c r="R22" s="6" t="n">
        <v>0</v>
      </c>
      <c r="S22" s="7" t="n">
        <v>0</v>
      </c>
      <c r="T22" s="6" t="n">
        <v>8</v>
      </c>
      <c r="U22" s="7" t="n">
        <v>1889520</v>
      </c>
      <c r="V22" s="6" t="n">
        <v>2</v>
      </c>
      <c r="W22" s="7" t="n">
        <v>545880</v>
      </c>
      <c r="X22" s="6" t="n">
        <v>0</v>
      </c>
      <c r="Y22" s="7" t="n">
        <v>0</v>
      </c>
      <c r="Z22" s="6" t="n">
        <v>40</v>
      </c>
      <c r="AA22" s="7" t="n">
        <v>12172530</v>
      </c>
      <c r="AB22" s="6" t="n">
        <v>0</v>
      </c>
      <c r="AC22" s="7" t="n">
        <v>0</v>
      </c>
      <c r="AD22" s="6" t="n">
        <v>4</v>
      </c>
      <c r="AE22" s="7" t="n">
        <v>1199930</v>
      </c>
      <c r="AF22" s="6" t="n">
        <v>0</v>
      </c>
      <c r="AG22" s="7" t="n">
        <v>0</v>
      </c>
    </row>
    <row r="23" ht="21" customHeight="1" thickBot="1">
      <c r="A23" s="49" t="n">
        <v>46223</v>
      </c>
      <c r="B23" s="52">
        <f>D23+F23+H23+J23+L23+N23+P23+R23+T23+V23+X23+Z23+AB23+AD23+AF23</f>
        <v/>
      </c>
      <c r="C23" s="53">
        <f>E23+G23+I23+K23+M23+O23+Q23+S23+U23+W23+Y23+AA23+AC23+AE23+AG23</f>
        <v/>
      </c>
      <c r="D23" s="6" t="n">
        <v>2</v>
      </c>
      <c r="E23" s="7" t="n">
        <v>511690</v>
      </c>
      <c r="F23" s="6" t="n">
        <v>16</v>
      </c>
      <c r="G23" s="7" t="n">
        <v>4145880</v>
      </c>
      <c r="H23" s="6" t="n">
        <v>0</v>
      </c>
      <c r="I23" s="7" t="n">
        <v>0</v>
      </c>
      <c r="J23" s="6" t="n">
        <v>14</v>
      </c>
      <c r="K23" s="7" t="n">
        <v>2921750</v>
      </c>
      <c r="L23" s="6" t="n">
        <v>0</v>
      </c>
      <c r="M23" s="7" t="n">
        <v>0</v>
      </c>
      <c r="N23" s="6" t="n">
        <v>0</v>
      </c>
      <c r="O23" s="7" t="n">
        <v>0</v>
      </c>
      <c r="P23" s="6" t="n">
        <v>1</v>
      </c>
      <c r="Q23" s="7" t="n">
        <v>136100</v>
      </c>
      <c r="R23" s="6" t="n">
        <v>15</v>
      </c>
      <c r="S23" s="7" t="n">
        <v>3590250</v>
      </c>
      <c r="T23" s="6" t="n">
        <v>11</v>
      </c>
      <c r="U23" s="7" t="n">
        <v>2263170</v>
      </c>
      <c r="V23" s="6" t="n">
        <v>2</v>
      </c>
      <c r="W23" s="7" t="n">
        <v>544410</v>
      </c>
      <c r="X23" s="6" t="n">
        <v>6</v>
      </c>
      <c r="Y23" s="7" t="n">
        <v>1247980</v>
      </c>
      <c r="Z23" s="6" t="n">
        <v>0</v>
      </c>
      <c r="AA23" s="7" t="n">
        <v>0</v>
      </c>
      <c r="AB23" s="6" t="n">
        <v>0</v>
      </c>
      <c r="AC23" s="7" t="n">
        <v>0</v>
      </c>
      <c r="AD23" s="68" t="n">
        <v>17</v>
      </c>
      <c r="AE23" s="69" t="n">
        <v>4906720</v>
      </c>
      <c r="AF23" s="6" t="n">
        <v>0</v>
      </c>
      <c r="AG23" s="7" t="n">
        <v>0</v>
      </c>
    </row>
    <row r="24" ht="21" customHeight="1" thickBot="1">
      <c r="A24" s="49" t="n">
        <v>46224</v>
      </c>
      <c r="B24" s="52">
        <f>D24+F24+H24+J24+L24+N24+P24+R24+T24+V24+X24+Z24+AB24+AD24+AF24</f>
        <v/>
      </c>
      <c r="C24" s="53">
        <f>E24+G24+I24+K24+M24+O24+Q24+S24+U24+W24+Y24+AA24+AC24+AE24+AG24</f>
        <v/>
      </c>
      <c r="D24" s="6" t="n">
        <v>2</v>
      </c>
      <c r="E24" s="7" t="n">
        <v>462000</v>
      </c>
      <c r="F24" s="6" t="n">
        <v>26</v>
      </c>
      <c r="G24" s="7" t="n">
        <v>5830720</v>
      </c>
      <c r="H24" s="6" t="n">
        <v>1</v>
      </c>
      <c r="I24" s="7" t="n">
        <v>780000</v>
      </c>
      <c r="J24" s="6" t="n">
        <v>25</v>
      </c>
      <c r="K24" s="7" t="n">
        <v>4776250</v>
      </c>
      <c r="L24" s="6" t="n">
        <v>17</v>
      </c>
      <c r="M24" s="7" t="n">
        <v>3137960</v>
      </c>
      <c r="N24" s="6" t="n">
        <v>0</v>
      </c>
      <c r="O24" s="7" t="n">
        <v>0</v>
      </c>
      <c r="P24" s="6" t="n">
        <v>3</v>
      </c>
      <c r="Q24" s="7" t="n">
        <v>408300</v>
      </c>
      <c r="R24" s="6" t="n">
        <v>27</v>
      </c>
      <c r="S24" s="7" t="n">
        <v>11220300</v>
      </c>
      <c r="T24" s="6" t="n">
        <v>10</v>
      </c>
      <c r="U24" s="7" t="n">
        <v>2207550</v>
      </c>
      <c r="V24" s="6" t="n">
        <v>13</v>
      </c>
      <c r="W24" s="7" t="n">
        <v>5146750</v>
      </c>
      <c r="X24" s="6" t="n">
        <v>27</v>
      </c>
      <c r="Y24" s="7" t="n">
        <v>6212470</v>
      </c>
      <c r="Z24" s="6" t="n">
        <v>0</v>
      </c>
      <c r="AA24" s="7" t="n">
        <v>0</v>
      </c>
      <c r="AB24" s="6" t="n">
        <v>0</v>
      </c>
      <c r="AC24" s="7" t="n">
        <v>0</v>
      </c>
      <c r="AD24" s="6" t="n">
        <v>44</v>
      </c>
      <c r="AE24" s="7" t="n">
        <v>18916590</v>
      </c>
      <c r="AF24" s="6" t="n">
        <v>1</v>
      </c>
      <c r="AG24" s="7" t="n">
        <v>1307850</v>
      </c>
    </row>
    <row r="25" ht="21" customHeight="1" thickBot="1">
      <c r="A25" s="49" t="n">
        <v>46225</v>
      </c>
      <c r="B25" s="52">
        <f>D25+F25+H25+J25+L25+N25+P25+R25+T25+V25+X25+Z25+AB25+AD25+AF25</f>
        <v/>
      </c>
      <c r="C25" s="53">
        <f>E25+G25+I25+K25+M25+O25+Q25+S25+U25+W25+Y25+AA25+AC25+AE25+AG25</f>
        <v/>
      </c>
      <c r="D25" s="6" t="n">
        <v>5</v>
      </c>
      <c r="E25" s="7" t="n">
        <v>1050320</v>
      </c>
      <c r="F25" s="6" t="n">
        <v>46</v>
      </c>
      <c r="G25" s="7" t="n">
        <v>13242900</v>
      </c>
      <c r="H25" s="6" t="n">
        <v>0</v>
      </c>
      <c r="I25" s="7" t="n">
        <v>0</v>
      </c>
      <c r="J25" s="6" t="n">
        <v>35</v>
      </c>
      <c r="K25" s="7" t="n">
        <v>13025700</v>
      </c>
      <c r="L25" s="6" t="n">
        <v>11</v>
      </c>
      <c r="M25" s="7" t="n">
        <v>1956430</v>
      </c>
      <c r="N25" s="6" t="n">
        <v>0</v>
      </c>
      <c r="O25" s="7" t="n">
        <v>0</v>
      </c>
      <c r="P25" s="6" t="n">
        <v>0</v>
      </c>
      <c r="Q25" s="7" t="n">
        <v>0</v>
      </c>
      <c r="R25" s="6" t="n">
        <v>25</v>
      </c>
      <c r="S25" s="7" t="n">
        <v>10950500</v>
      </c>
      <c r="T25" s="6" t="n">
        <v>11</v>
      </c>
      <c r="U25" s="7" t="n">
        <v>2618780</v>
      </c>
      <c r="V25" s="6" t="n">
        <v>22</v>
      </c>
      <c r="W25" s="7" t="n">
        <v>5250910</v>
      </c>
      <c r="X25" s="6" t="n">
        <v>8</v>
      </c>
      <c r="Y25" s="7" t="n">
        <v>1190010</v>
      </c>
      <c r="Z25" s="6" t="n">
        <v>76</v>
      </c>
      <c r="AA25" s="7" t="n">
        <v>18907150</v>
      </c>
      <c r="AB25" s="6" t="n">
        <v>5</v>
      </c>
      <c r="AC25" s="7" t="n">
        <v>1754180</v>
      </c>
      <c r="AD25" s="6" t="n">
        <v>11</v>
      </c>
      <c r="AE25" s="7" t="n">
        <v>4773040</v>
      </c>
      <c r="AF25" s="6" t="n">
        <v>16</v>
      </c>
      <c r="AG25" s="7" t="n">
        <v>5390090</v>
      </c>
    </row>
    <row r="26" ht="21" customHeight="1" thickBot="1">
      <c r="A26" s="49" t="n">
        <v>46226</v>
      </c>
      <c r="B26" s="52">
        <f>D26+F26+H26+J26+L26+N26+P26+R26+T26+V26+X26+Z26+AB26+AD26+AF26</f>
        <v/>
      </c>
      <c r="C26" s="53">
        <f>E26+G26+I26+K26+M26+O26+Q26+S26+U26+W26+Y26+AA26+AC26+AE26+AG26</f>
        <v/>
      </c>
      <c r="D26" s="6" t="n">
        <v>9</v>
      </c>
      <c r="E26" s="7" t="n">
        <v>2037840</v>
      </c>
      <c r="F26" s="6" t="n">
        <v>41</v>
      </c>
      <c r="G26" s="7" t="n">
        <v>11417660</v>
      </c>
      <c r="H26" s="6" t="n">
        <v>0</v>
      </c>
      <c r="I26" s="7" t="n">
        <v>0</v>
      </c>
      <c r="J26" s="6" t="n">
        <v>37</v>
      </c>
      <c r="K26" s="7" t="n">
        <v>15705250</v>
      </c>
      <c r="L26" s="6" t="n">
        <v>10</v>
      </c>
      <c r="M26" s="7" t="n">
        <v>2618250</v>
      </c>
      <c r="N26" s="6" t="n">
        <v>0</v>
      </c>
      <c r="O26" s="7" t="n">
        <v>0</v>
      </c>
      <c r="P26" s="6" t="n">
        <v>0</v>
      </c>
      <c r="Q26" s="7" t="n">
        <v>0</v>
      </c>
      <c r="R26" s="6" t="n">
        <v>27</v>
      </c>
      <c r="S26" s="7" t="n">
        <v>12750700</v>
      </c>
      <c r="T26" s="6" t="n">
        <v>11</v>
      </c>
      <c r="U26" s="7" t="n">
        <v>2808070</v>
      </c>
      <c r="V26" s="6" t="n">
        <v>12</v>
      </c>
      <c r="W26" s="7" t="n">
        <v>3277230</v>
      </c>
      <c r="X26" s="6" t="n">
        <v>7</v>
      </c>
      <c r="Y26" s="7" t="n">
        <v>1218450</v>
      </c>
      <c r="Z26" s="6" t="n">
        <v>75</v>
      </c>
      <c r="AA26" s="7" t="n">
        <v>20339120</v>
      </c>
      <c r="AB26" s="6" t="n">
        <v>9</v>
      </c>
      <c r="AC26" s="7" t="n">
        <v>2140180</v>
      </c>
      <c r="AD26" s="6" t="n">
        <v>13</v>
      </c>
      <c r="AE26" s="7" t="n">
        <v>4865180</v>
      </c>
      <c r="AF26" s="6" t="n">
        <v>1</v>
      </c>
      <c r="AG26" s="7" t="n">
        <v>171090</v>
      </c>
    </row>
    <row r="27" ht="21" customHeight="1" thickBot="1">
      <c r="A27" s="49" t="n">
        <v>46227</v>
      </c>
      <c r="B27" s="52">
        <f>D27+F27+H27+J27+L27+N27+P27+R27+T27+V27+X27+Z27+AB27+AD27+AF27</f>
        <v/>
      </c>
      <c r="C27" s="53">
        <f>E27+G27+I27+K27+M27+O27+Q27+S27+U27+W27+Y27+AA27+AC27+AE27+AG27</f>
        <v/>
      </c>
      <c r="D27" s="6" t="n">
        <v>7</v>
      </c>
      <c r="E27" s="7" t="n">
        <v>1467280</v>
      </c>
      <c r="F27" s="6" t="n">
        <v>15</v>
      </c>
      <c r="G27" s="7" t="n">
        <v>4749670</v>
      </c>
      <c r="H27" s="6" t="n">
        <v>0</v>
      </c>
      <c r="I27" s="7" t="n">
        <v>0</v>
      </c>
      <c r="J27" s="6" t="n">
        <v>30</v>
      </c>
      <c r="K27" s="7" t="n">
        <v>11725500</v>
      </c>
      <c r="L27" s="6" t="n">
        <v>15</v>
      </c>
      <c r="M27" s="7" t="n">
        <v>2365260</v>
      </c>
      <c r="N27" s="6" t="n">
        <v>0</v>
      </c>
      <c r="O27" s="7" t="n">
        <v>0</v>
      </c>
      <c r="P27" s="6" t="n">
        <v>0</v>
      </c>
      <c r="Q27" s="7" t="n">
        <v>0</v>
      </c>
      <c r="R27" s="6" t="n">
        <v>19</v>
      </c>
      <c r="S27" s="7" t="n">
        <v>9980770</v>
      </c>
      <c r="T27" s="6" t="n">
        <v>12</v>
      </c>
      <c r="U27" s="7" t="n">
        <v>2202440</v>
      </c>
      <c r="V27" s="6" t="n">
        <v>8</v>
      </c>
      <c r="W27" s="7" t="n">
        <v>2120380</v>
      </c>
      <c r="X27" s="6" t="n">
        <v>10</v>
      </c>
      <c r="Y27" s="7" t="n">
        <v>1755370</v>
      </c>
      <c r="Z27" s="6" t="n">
        <v>23</v>
      </c>
      <c r="AA27" s="7" t="n">
        <v>4942470</v>
      </c>
      <c r="AB27" s="6" t="n">
        <v>1</v>
      </c>
      <c r="AC27" s="7" t="n">
        <v>304210</v>
      </c>
      <c r="AD27" s="6" t="n">
        <v>10</v>
      </c>
      <c r="AE27" s="7" t="n">
        <v>3120470</v>
      </c>
      <c r="AF27" s="6" t="n">
        <v>8</v>
      </c>
      <c r="AG27" s="7" t="n">
        <v>2448000</v>
      </c>
    </row>
    <row r="28" ht="21" customHeight="1" thickBot="1">
      <c r="A28" s="49" t="n">
        <v>46228</v>
      </c>
      <c r="B28" s="52">
        <f>D28+F28+H28+J28+L28+N28+P28+R28+T28+V28+X28+Z28+AB28+AD28+AF28</f>
        <v/>
      </c>
      <c r="C28" s="53">
        <f>E28+G28+I28+K28+M28+O28+Q28+S28+U28+W28+Y28+AA28+AC28+AE28+AG28</f>
        <v/>
      </c>
      <c r="D28" s="6" t="n">
        <v>8</v>
      </c>
      <c r="E28" s="7" t="n">
        <v>2001200</v>
      </c>
      <c r="F28" s="6" t="n">
        <v>3</v>
      </c>
      <c r="G28" s="7" t="n">
        <v>601120</v>
      </c>
      <c r="H28" s="6" t="n">
        <v>0</v>
      </c>
      <c r="I28" s="7" t="n">
        <v>0</v>
      </c>
      <c r="J28" s="6" t="n">
        <v>22</v>
      </c>
      <c r="K28" s="7" t="n">
        <v>4220770</v>
      </c>
      <c r="L28" s="6" t="n">
        <v>6</v>
      </c>
      <c r="M28" s="7" t="n">
        <v>1157880</v>
      </c>
      <c r="N28" s="6" t="n">
        <v>0</v>
      </c>
      <c r="O28" s="7" t="n">
        <v>0</v>
      </c>
      <c r="P28" s="6" t="n">
        <v>6</v>
      </c>
      <c r="Q28" s="7" t="n">
        <v>1412960</v>
      </c>
      <c r="R28" s="6" t="n">
        <v>23</v>
      </c>
      <c r="S28" s="7" t="n">
        <v>10570300</v>
      </c>
      <c r="T28" s="6" t="n">
        <v>9</v>
      </c>
      <c r="U28" s="7" t="n">
        <v>1702690</v>
      </c>
      <c r="V28" s="6" t="n">
        <v>5</v>
      </c>
      <c r="W28" s="7" t="n">
        <v>1364700</v>
      </c>
      <c r="X28" s="6" t="n">
        <v>9</v>
      </c>
      <c r="Y28" s="7" t="n">
        <v>1559460</v>
      </c>
      <c r="Z28" s="6" t="n">
        <v>0</v>
      </c>
      <c r="AA28" s="7" t="n">
        <v>0</v>
      </c>
      <c r="AB28" s="6" t="n">
        <v>3</v>
      </c>
      <c r="AC28" s="7" t="n">
        <v>388050</v>
      </c>
      <c r="AD28" s="6" t="n">
        <v>2</v>
      </c>
      <c r="AE28" s="7" t="n">
        <v>728780</v>
      </c>
      <c r="AF28" s="6" t="n">
        <v>0</v>
      </c>
      <c r="AG28" s="7" t="n">
        <v>0</v>
      </c>
    </row>
    <row r="29" ht="21" customHeight="1" thickBot="1">
      <c r="A29" s="49" t="n">
        <v>46229</v>
      </c>
      <c r="B29" s="52">
        <f>D29+F29+H29+J29+L29+N29+P29+R29+T29+V29+X29+Z29+AB29+AD29+AF29</f>
        <v/>
      </c>
      <c r="C29" s="53">
        <f>E29+G29+I29+K29+M29+O29+Q29+S29+U29+W29+Y29+AA29+AC29+AE29+AG29</f>
        <v/>
      </c>
      <c r="D29" s="6" t="n">
        <v>2</v>
      </c>
      <c r="E29" s="7" t="n">
        <v>405840</v>
      </c>
      <c r="F29" s="6" t="n">
        <v>28</v>
      </c>
      <c r="G29" s="7" t="n">
        <v>10576030</v>
      </c>
      <c r="H29" s="6" t="n">
        <v>0</v>
      </c>
      <c r="I29" s="7" t="n">
        <v>0</v>
      </c>
      <c r="J29" s="6" t="n">
        <v>15</v>
      </c>
      <c r="K29" s="7" t="n">
        <v>3057750</v>
      </c>
      <c r="L29" s="6" t="n">
        <v>0</v>
      </c>
      <c r="M29" s="7" t="n">
        <v>0</v>
      </c>
      <c r="N29" s="6" t="n">
        <v>0</v>
      </c>
      <c r="O29" s="7" t="n">
        <v>0</v>
      </c>
      <c r="P29" s="6" t="n">
        <v>0</v>
      </c>
      <c r="Q29" s="7" t="n">
        <v>0</v>
      </c>
      <c r="R29" s="6" t="n">
        <v>11</v>
      </c>
      <c r="S29" s="7" t="n">
        <v>2978770</v>
      </c>
      <c r="T29" s="6" t="n">
        <v>0</v>
      </c>
      <c r="U29" s="7" t="n">
        <v>0</v>
      </c>
      <c r="V29" s="6" t="n">
        <v>2</v>
      </c>
      <c r="W29" s="7" t="n">
        <v>3632960</v>
      </c>
      <c r="X29" s="6" t="n">
        <v>0</v>
      </c>
      <c r="Y29" s="7" t="n">
        <v>0</v>
      </c>
      <c r="Z29" s="6" t="n">
        <v>2</v>
      </c>
      <c r="AA29" s="7" t="n">
        <v>622000</v>
      </c>
      <c r="AB29" s="6" t="n">
        <v>1</v>
      </c>
      <c r="AC29" s="7" t="n">
        <v>216700</v>
      </c>
      <c r="AD29" s="6" t="n">
        <v>2</v>
      </c>
      <c r="AE29" s="7" t="n">
        <v>551720</v>
      </c>
      <c r="AF29" s="6" t="n">
        <v>0</v>
      </c>
      <c r="AG29" s="7" t="n">
        <v>0</v>
      </c>
    </row>
    <row r="30" ht="21" customHeight="1" thickBot="1">
      <c r="A30" s="49" t="n">
        <v>46230</v>
      </c>
      <c r="B30" s="52">
        <f>D30+F30+H30+J30+L30+N30+P30+R30+T30+V30+X30+Z30+AB30+AD30+AF30</f>
        <v/>
      </c>
      <c r="C30" s="53">
        <f>E30+G30+I30+K30+M30+O30+Q30+S30+U30+W30+Y30+AA30+AC30+AE30+AG30</f>
        <v/>
      </c>
      <c r="D30" s="6" t="n">
        <v>9</v>
      </c>
      <c r="E30" s="7" t="n">
        <v>1740640</v>
      </c>
      <c r="F30" s="6" t="n">
        <v>15</v>
      </c>
      <c r="G30" s="7" t="n">
        <v>4691010</v>
      </c>
      <c r="H30" s="6" t="n">
        <v>3</v>
      </c>
      <c r="I30" s="7" t="n">
        <v>2149620</v>
      </c>
      <c r="J30" s="6" t="n">
        <v>39</v>
      </c>
      <c r="K30" s="7" t="n">
        <v>14570920</v>
      </c>
      <c r="L30" s="6" t="n">
        <v>27</v>
      </c>
      <c r="M30" s="7" t="n">
        <v>4325640</v>
      </c>
      <c r="N30" s="6" t="n">
        <v>0</v>
      </c>
      <c r="O30" s="7" t="n">
        <v>0</v>
      </c>
      <c r="P30" s="6" t="n">
        <v>4</v>
      </c>
      <c r="Q30" s="7" t="n">
        <v>1145240</v>
      </c>
      <c r="R30" s="6" t="n">
        <v>33</v>
      </c>
      <c r="S30" s="7" t="n">
        <v>12079920</v>
      </c>
      <c r="T30" s="6" t="n">
        <v>10</v>
      </c>
      <c r="U30" s="7" t="n">
        <v>2785420</v>
      </c>
      <c r="V30" s="6" t="n">
        <v>2</v>
      </c>
      <c r="W30" s="7" t="n">
        <v>574460</v>
      </c>
      <c r="X30" s="6" t="n">
        <v>7</v>
      </c>
      <c r="Y30" s="7" t="n">
        <v>1728080</v>
      </c>
      <c r="Z30" s="6" t="n">
        <v>102</v>
      </c>
      <c r="AA30" s="7" t="n">
        <v>22742320</v>
      </c>
      <c r="AB30" s="6" t="n">
        <v>5</v>
      </c>
      <c r="AC30" s="7" t="n">
        <v>982180</v>
      </c>
      <c r="AD30" s="6" t="n">
        <v>31</v>
      </c>
      <c r="AE30" s="7" t="n">
        <v>8966590</v>
      </c>
      <c r="AF30" s="6" t="n">
        <v>0</v>
      </c>
      <c r="AG30" s="7" t="n">
        <v>0</v>
      </c>
    </row>
    <row r="31" ht="21" customHeight="1" thickBot="1">
      <c r="A31" s="49" t="n">
        <v>46231</v>
      </c>
      <c r="B31" s="52">
        <f>D31+F31+H31+J31+L31+N31+P31+R31+T31+V31+X31+Z31+AB31+AD31+AF31</f>
        <v/>
      </c>
      <c r="C31" s="53">
        <f>E31+G31+I31+K31+M31+O31+Q31+S31+U31+W31+Y31+AA31+AC31+AE31+AG31</f>
        <v/>
      </c>
      <c r="D31" s="6" t="n">
        <v>3</v>
      </c>
      <c r="E31" s="7" t="n">
        <v>863220</v>
      </c>
      <c r="F31" s="6" t="n">
        <v>20</v>
      </c>
      <c r="G31" s="7" t="n">
        <v>4898420</v>
      </c>
      <c r="H31" s="6" t="n">
        <v>0</v>
      </c>
      <c r="I31" s="7" t="n">
        <v>0</v>
      </c>
      <c r="J31" s="6" t="n">
        <v>43</v>
      </c>
      <c r="K31" s="7" t="n">
        <v>15375250</v>
      </c>
      <c r="L31" s="6" t="n">
        <v>6</v>
      </c>
      <c r="M31" s="7" t="n">
        <v>1255740</v>
      </c>
      <c r="N31" s="6" t="n">
        <v>0</v>
      </c>
      <c r="O31" s="7" t="n">
        <v>0</v>
      </c>
      <c r="P31" s="6" t="n">
        <v>1</v>
      </c>
      <c r="Q31" s="7" t="n">
        <v>177680</v>
      </c>
      <c r="R31" s="6" t="n">
        <v>37</v>
      </c>
      <c r="S31" s="7" t="n">
        <v>13425750</v>
      </c>
      <c r="T31" s="6" t="n">
        <v>7</v>
      </c>
      <c r="U31" s="7" t="n">
        <v>2239160</v>
      </c>
      <c r="V31" s="6" t="n">
        <v>6</v>
      </c>
      <c r="W31" s="7" t="n">
        <v>4647480</v>
      </c>
      <c r="X31" s="6" t="n">
        <v>1</v>
      </c>
      <c r="Y31" s="7" t="n">
        <v>184960</v>
      </c>
      <c r="Z31" s="6" t="n">
        <v>7</v>
      </c>
      <c r="AA31" s="7" t="n">
        <v>1698330</v>
      </c>
      <c r="AB31" s="6" t="n">
        <v>9</v>
      </c>
      <c r="AC31" s="7" t="n">
        <v>2650380</v>
      </c>
      <c r="AD31" s="6" t="n">
        <v>20</v>
      </c>
      <c r="AE31" s="7" t="n">
        <v>7342310</v>
      </c>
      <c r="AF31" s="6" t="n">
        <v>0</v>
      </c>
      <c r="AG31" s="7" t="n">
        <v>0</v>
      </c>
    </row>
    <row r="32" ht="21" customHeight="1" thickBot="1">
      <c r="A32" s="49" t="n">
        <v>46232</v>
      </c>
      <c r="B32" s="52">
        <f>D32+F32+H32+J32+L32+N32+P32+R32+T32+V32+X32+Z32+AB32+AD32+AF32</f>
        <v/>
      </c>
      <c r="C32" s="53">
        <f>E32+G32+I32+K32+M32+O32+Q32+S32+U32+W32+Y32+AA32+AC32+AE32+AG32</f>
        <v/>
      </c>
      <c r="D32" s="6" t="n">
        <v>0</v>
      </c>
      <c r="E32" s="7" t="n">
        <v>0</v>
      </c>
      <c r="F32" s="6" t="n">
        <v>4</v>
      </c>
      <c r="G32" s="7" t="n">
        <v>1114000</v>
      </c>
      <c r="H32" s="6" t="n">
        <v>5</v>
      </c>
      <c r="I32" s="7" t="n">
        <v>1399420</v>
      </c>
      <c r="J32" s="6" t="n">
        <v>22</v>
      </c>
      <c r="K32" s="7" t="n">
        <v>4371730</v>
      </c>
      <c r="L32" s="6" t="n">
        <v>17</v>
      </c>
      <c r="M32" s="7" t="n">
        <v>3707250</v>
      </c>
      <c r="N32" s="6" t="n">
        <v>0</v>
      </c>
      <c r="O32" s="6" t="n">
        <v>0</v>
      </c>
      <c r="P32" s="6" t="n">
        <v>0</v>
      </c>
      <c r="Q32" s="7" t="n">
        <v>0</v>
      </c>
      <c r="R32" s="6" t="n">
        <v>26</v>
      </c>
      <c r="S32" s="7" t="n">
        <v>11125720</v>
      </c>
      <c r="T32" s="6" t="n">
        <v>12</v>
      </c>
      <c r="U32" s="7" t="n">
        <v>2743600</v>
      </c>
      <c r="V32" s="6" t="n">
        <v>16</v>
      </c>
      <c r="W32" s="7" t="n">
        <v>4367040</v>
      </c>
      <c r="X32" s="6" t="n">
        <v>24</v>
      </c>
      <c r="Y32" s="7" t="n">
        <v>4851210</v>
      </c>
      <c r="Z32" s="6" t="n">
        <v>2</v>
      </c>
      <c r="AA32" s="7" t="n">
        <v>400120</v>
      </c>
      <c r="AB32" s="6" t="n">
        <v>5</v>
      </c>
      <c r="AC32" s="7" t="n">
        <v>1171010</v>
      </c>
      <c r="AD32" s="6" t="n">
        <v>8</v>
      </c>
      <c r="AE32" s="7" t="n">
        <v>1772700</v>
      </c>
      <c r="AF32" s="6" t="n">
        <v>0</v>
      </c>
      <c r="AG32" s="7" t="n">
        <v>0</v>
      </c>
    </row>
    <row r="33" ht="21" customHeight="1" thickBot="1">
      <c r="A33" s="49" t="n">
        <v>46233</v>
      </c>
      <c r="B33" s="52">
        <f>D33+F33+H33+J33+L33+N33+P33+R33+T33+V33+X33+Z33+AB33+AD33+AF33</f>
        <v/>
      </c>
      <c r="C33" s="53">
        <f>E33+G33+I33+K33+M33+O33+Q33+S33+U33+W33+Y33+AA33+AC33+AE33+AG33</f>
        <v/>
      </c>
      <c r="D33" s="6" t="n">
        <v>24</v>
      </c>
      <c r="E33" s="7" t="n">
        <v>5136590</v>
      </c>
      <c r="F33" s="6" t="n">
        <v>21</v>
      </c>
      <c r="G33" s="7" t="n">
        <v>5404940</v>
      </c>
      <c r="H33" s="6" t="n">
        <v>0</v>
      </c>
      <c r="I33" s="7" t="n">
        <v>0</v>
      </c>
      <c r="J33" s="6" t="n">
        <v>49</v>
      </c>
      <c r="K33" s="7" t="n">
        <v>16205720</v>
      </c>
      <c r="L33" s="6" t="n">
        <v>17</v>
      </c>
      <c r="M33" s="7" t="n">
        <v>3730340</v>
      </c>
      <c r="N33" s="6" t="n">
        <v>0</v>
      </c>
      <c r="O33" s="7" t="n">
        <v>0</v>
      </c>
      <c r="P33" s="6" t="n">
        <v>13</v>
      </c>
      <c r="Q33" s="7" t="n">
        <v>2807320</v>
      </c>
      <c r="R33" s="6" t="n">
        <v>38</v>
      </c>
      <c r="S33" s="7" t="n">
        <v>13730720</v>
      </c>
      <c r="T33" s="6" t="n">
        <v>11</v>
      </c>
      <c r="U33" s="7" t="n">
        <v>2928570</v>
      </c>
      <c r="V33" s="6" t="n">
        <v>2</v>
      </c>
      <c r="W33" s="7" t="n">
        <v>545880</v>
      </c>
      <c r="X33" s="6" t="n">
        <v>0</v>
      </c>
      <c r="Y33" s="7" t="n">
        <v>0</v>
      </c>
      <c r="Z33" s="6" t="n">
        <v>46</v>
      </c>
      <c r="AA33" s="7" t="n">
        <v>11574090</v>
      </c>
      <c r="AB33" s="6" t="n">
        <v>13</v>
      </c>
      <c r="AC33" s="7" t="n">
        <v>2369420</v>
      </c>
      <c r="AD33" s="6" t="n">
        <v>28</v>
      </c>
      <c r="AE33" s="7" t="n">
        <v>8035950</v>
      </c>
      <c r="AF33" s="6" t="n">
        <v>0</v>
      </c>
      <c r="AG33" s="7" t="n">
        <v>0</v>
      </c>
    </row>
    <row r="34" ht="21" customHeight="1" thickBot="1">
      <c r="A34" s="49" t="n">
        <v>46234</v>
      </c>
      <c r="B34" s="52">
        <f>D34+F34+H34+J34+L34+N34+P34+R34+T34+V34+X34+Z34+AB34+AD34+AF34</f>
        <v/>
      </c>
      <c r="C34" s="53">
        <f>E34+G34+I34+K34+M34+O34+Q34+S34+U34+W34+Y34+AA34+AC34+AE34+AG34</f>
        <v/>
      </c>
      <c r="D34" s="74" t="n">
        <v>14</v>
      </c>
      <c r="E34" s="75" t="n">
        <v>3039540</v>
      </c>
      <c r="F34" s="74" t="n">
        <v>24</v>
      </c>
      <c r="G34" s="75" t="n">
        <v>7670660</v>
      </c>
      <c r="H34" s="74" t="n">
        <v>2</v>
      </c>
      <c r="I34" s="75" t="n">
        <v>612000</v>
      </c>
      <c r="J34" s="74" t="n">
        <v>40</v>
      </c>
      <c r="K34" s="75" t="n">
        <v>14270770</v>
      </c>
      <c r="L34" s="74" t="n">
        <v>45</v>
      </c>
      <c r="M34" s="75" t="n">
        <v>9873930</v>
      </c>
      <c r="N34" s="74" t="n">
        <v>0</v>
      </c>
      <c r="O34" s="75" t="n">
        <v>0</v>
      </c>
      <c r="P34" s="74" t="n">
        <v>8</v>
      </c>
      <c r="Q34" s="75" t="n">
        <v>2159630</v>
      </c>
      <c r="R34" s="74" t="n">
        <v>31</v>
      </c>
      <c r="S34" s="75" t="n">
        <v>12530250</v>
      </c>
      <c r="T34" s="74" t="n">
        <v>17</v>
      </c>
      <c r="U34" s="75" t="n">
        <v>2887410</v>
      </c>
      <c r="V34" s="74" t="n">
        <v>4</v>
      </c>
      <c r="W34" s="75" t="n">
        <v>1870770</v>
      </c>
      <c r="X34" s="74" t="n">
        <v>20</v>
      </c>
      <c r="Y34" s="75" t="n">
        <v>3857350</v>
      </c>
      <c r="Z34" s="74" t="n">
        <v>73</v>
      </c>
      <c r="AA34" s="75" t="n">
        <v>18301460</v>
      </c>
      <c r="AB34" s="74" t="n">
        <v>0</v>
      </c>
      <c r="AC34" s="75" t="n">
        <v>0</v>
      </c>
      <c r="AD34" s="74" t="n">
        <v>7</v>
      </c>
      <c r="AE34" s="75" t="n">
        <v>1815170</v>
      </c>
      <c r="AF34" s="74" t="n">
        <v>1</v>
      </c>
      <c r="AG34" s="75" t="n">
        <v>192310</v>
      </c>
    </row>
    <row r="35" ht="23.25" customHeight="1" thickBot="1">
      <c r="A35" s="50" t="inlineStr">
        <is>
          <t>Жами</t>
        </is>
      </c>
      <c r="B35" s="12">
        <f>SUM(B4:B34)</f>
        <v/>
      </c>
      <c r="C35" s="34">
        <f>SUM(C4:C34)</f>
        <v/>
      </c>
      <c r="D35" s="12">
        <f>SUM(D4:D34)</f>
        <v/>
      </c>
      <c r="E35" s="34">
        <f>SUM(E4:E34)</f>
        <v/>
      </c>
      <c r="F35" s="12">
        <f>SUM(F4:F34)</f>
        <v/>
      </c>
      <c r="G35" s="34">
        <f>SUM(G4:G34)</f>
        <v/>
      </c>
      <c r="H35" s="12">
        <f>SUM(H4:H34)</f>
        <v/>
      </c>
      <c r="I35" s="34">
        <f>SUM(I4:I34)</f>
        <v/>
      </c>
      <c r="J35" s="12">
        <f>SUM(J4:J34)</f>
        <v/>
      </c>
      <c r="K35" s="34">
        <f>SUM(K4:K34)</f>
        <v/>
      </c>
      <c r="L35" s="12">
        <f>SUM(L4:L34)</f>
        <v/>
      </c>
      <c r="M35" s="34">
        <f>SUM(M4:M34)</f>
        <v/>
      </c>
      <c r="N35" s="12">
        <f>SUM(N4:N34)</f>
        <v/>
      </c>
      <c r="O35" s="34">
        <f>SUM(O4:O34)</f>
        <v/>
      </c>
      <c r="P35" s="12">
        <f>SUM(P4:P34)</f>
        <v/>
      </c>
      <c r="Q35" s="34">
        <f>SUM(Q4:Q34)</f>
        <v/>
      </c>
      <c r="R35" s="12">
        <f>SUM(R4:R34)</f>
        <v/>
      </c>
      <c r="S35" s="34">
        <f>SUM(S4:S34)</f>
        <v/>
      </c>
      <c r="T35" s="12">
        <f>SUM(T4:T34)</f>
        <v/>
      </c>
      <c r="U35" s="34">
        <f>SUM(U4:U34)</f>
        <v/>
      </c>
      <c r="V35" s="12">
        <f>SUM(V4:V34)</f>
        <v/>
      </c>
      <c r="W35" s="34">
        <f>SUM(W4:W34)</f>
        <v/>
      </c>
      <c r="X35" s="12">
        <f>SUM(X4:X34)</f>
        <v/>
      </c>
      <c r="Y35" s="34">
        <f>SUM(Y4:Y34)</f>
        <v/>
      </c>
      <c r="Z35" s="12">
        <f>SUM(Z4:Z34)</f>
        <v/>
      </c>
      <c r="AA35" s="34">
        <f>SUM(AA4:AA34)</f>
        <v/>
      </c>
      <c r="AB35" s="12">
        <f>SUM(AB4:AB34)</f>
        <v/>
      </c>
      <c r="AC35" s="34">
        <f>SUM(AC4:AC34)</f>
        <v/>
      </c>
      <c r="AD35" s="12">
        <f>SUM(AD4:AD34)</f>
        <v/>
      </c>
      <c r="AE35" s="34">
        <f>SUM(AE4:AE34)</f>
        <v/>
      </c>
      <c r="AF35" s="12">
        <f>SUM(AF4:AF34)</f>
        <v/>
      </c>
      <c r="AG35" s="34">
        <f>SUM(AG4:AG34)</f>
        <v/>
      </c>
    </row>
  </sheetData>
  <mergeCells count="18">
    <mergeCell ref="L2:M2"/>
    <mergeCell ref="A1:A3"/>
    <mergeCell ref="F2:G2"/>
    <mergeCell ref="H2:I2"/>
    <mergeCell ref="V2:W2"/>
    <mergeCell ref="D2:E2"/>
    <mergeCell ref="T2:U2"/>
    <mergeCell ref="X2:Y2"/>
    <mergeCell ref="Z2:AA2"/>
    <mergeCell ref="AB2:AC2"/>
    <mergeCell ref="J2:K2"/>
    <mergeCell ref="B1:C2"/>
    <mergeCell ref="N2:O2"/>
    <mergeCell ref="AD2:AE2"/>
    <mergeCell ref="P2:Q2"/>
    <mergeCell ref="D1:AG1"/>
    <mergeCell ref="AF2:AG2"/>
    <mergeCell ref="R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43"/>
  <sheetViews>
    <sheetView zoomScaleNormal="100" workbookViewId="0">
      <selection activeCell="C34" sqref="C34"/>
    </sheetView>
  </sheetViews>
  <sheetFormatPr baseColWidth="8" defaultRowHeight="18.75"/>
  <cols>
    <col width="4.28515625" bestFit="1" customWidth="1" style="1" min="1" max="1"/>
    <col width="26.28515625" bestFit="1" customWidth="1" min="2" max="2"/>
    <col width="12.5703125" bestFit="1" customWidth="1" style="20" min="3" max="3"/>
    <col width="23.85546875" bestFit="1" customWidth="1" min="4" max="4"/>
  </cols>
  <sheetData>
    <row r="2" ht="74.25" customHeight="1">
      <c r="A2" s="124" t="inlineStr">
        <is>
          <t>Инфокиоскалардан 1-Июнь 31-Июль кунига қадар сотилган чипталар
 тўғрисида маълумотнома (худудлар кесимида (сумма))</t>
        </is>
      </c>
      <c r="B2" s="125" t="n"/>
      <c r="C2" s="125" t="n"/>
      <c r="D2" s="126" t="n"/>
    </row>
    <row r="3">
      <c r="A3" s="18" t="inlineStr">
        <is>
          <t>№</t>
        </is>
      </c>
      <c r="B3" s="18" t="inlineStr">
        <is>
          <t>Худуд</t>
        </is>
      </c>
      <c r="C3" s="19" t="inlineStr">
        <is>
          <t>Сони</t>
        </is>
      </c>
      <c r="D3" s="19" t="inlineStr">
        <is>
          <t>Сумма</t>
        </is>
      </c>
    </row>
    <row r="4" customFormat="1" s="16">
      <c r="A4" s="21" t="n">
        <v>1</v>
      </c>
      <c r="B4" s="14" t="inlineStr">
        <is>
          <t>Самарқанд</t>
        </is>
      </c>
      <c r="C4" s="15">
        <f>Худудлар!Z35</f>
        <v/>
      </c>
      <c r="D4" s="15">
        <f>Худудлар!AA35</f>
        <v/>
      </c>
    </row>
    <row r="5" customFormat="1" s="16">
      <c r="A5" s="21" t="n">
        <v>2</v>
      </c>
      <c r="B5" s="14" t="inlineStr">
        <is>
          <t>Бухоро</t>
        </is>
      </c>
      <c r="C5" s="15">
        <f>Худудлар!F35</f>
        <v/>
      </c>
      <c r="D5" s="15">
        <f>Худудлар!G35</f>
        <v/>
      </c>
    </row>
    <row r="6" customFormat="1" s="16">
      <c r="A6" s="21" t="n">
        <v>3</v>
      </c>
      <c r="B6" s="14" t="inlineStr">
        <is>
          <t>Нукус</t>
        </is>
      </c>
      <c r="C6" s="15">
        <f>Худудлар!R35</f>
        <v/>
      </c>
      <c r="D6" s="15">
        <f>Худудлар!S35</f>
        <v/>
      </c>
    </row>
    <row r="7" customFormat="1" s="16">
      <c r="A7" s="21" t="n">
        <v>4</v>
      </c>
      <c r="B7" s="14" t="inlineStr">
        <is>
          <t>Тошкент Жанубий</t>
        </is>
      </c>
      <c r="C7" s="15">
        <f>Худудлар!J35</f>
        <v/>
      </c>
      <c r="D7" s="15">
        <f>Худудлар!K35</f>
        <v/>
      </c>
    </row>
    <row r="8" customFormat="1" s="16">
      <c r="A8" s="21" t="n">
        <v>5</v>
      </c>
      <c r="B8" s="14" t="inlineStr">
        <is>
          <t>Тошкент Шимолий</t>
        </is>
      </c>
      <c r="C8" s="15">
        <f>Худудлар!AD35</f>
        <v/>
      </c>
      <c r="D8" s="15">
        <f>Худудлар!AE35</f>
        <v/>
      </c>
    </row>
    <row r="9" customFormat="1" s="16">
      <c r="A9" s="21" t="n">
        <v>6</v>
      </c>
      <c r="B9" s="14" t="inlineStr">
        <is>
          <t>Карши</t>
        </is>
      </c>
      <c r="C9" s="15">
        <f>Худудлар!T35</f>
        <v/>
      </c>
      <c r="D9" s="15">
        <f>Худудлар!U35</f>
        <v/>
      </c>
    </row>
    <row r="10" customFormat="1" s="16">
      <c r="A10" s="21" t="n">
        <v>7</v>
      </c>
      <c r="B10" s="14" t="inlineStr">
        <is>
          <t>Марғилон</t>
        </is>
      </c>
      <c r="C10" s="15">
        <f>Худудлар!L35</f>
        <v/>
      </c>
      <c r="D10" s="15">
        <f>Худудлар!M35</f>
        <v/>
      </c>
    </row>
    <row r="11" customFormat="1" s="16">
      <c r="A11" s="21" t="n">
        <v>8</v>
      </c>
      <c r="B11" s="14" t="inlineStr">
        <is>
          <t>Қўнғрод</t>
        </is>
      </c>
      <c r="C11" s="15">
        <f>Худудлар!V35</f>
        <v/>
      </c>
      <c r="D11" s="15">
        <f>Худудлар!W35</f>
        <v/>
      </c>
    </row>
    <row r="12" customFormat="1" s="16">
      <c r="A12" s="21" t="n">
        <v>9</v>
      </c>
      <c r="B12" s="14" t="inlineStr">
        <is>
          <t>Андижон</t>
        </is>
      </c>
      <c r="C12" s="15">
        <f>Худудлар!D35</f>
        <v/>
      </c>
      <c r="D12" s="15">
        <f>Худудлар!E35</f>
        <v/>
      </c>
    </row>
    <row r="13" customFormat="1" s="16">
      <c r="A13" s="21" t="n">
        <v>10</v>
      </c>
      <c r="B13" s="14" t="inlineStr">
        <is>
          <t>Термиз</t>
        </is>
      </c>
      <c r="C13" s="15">
        <f>Худудлар!AB35</f>
        <v/>
      </c>
      <c r="D13" s="15">
        <f>Худудлар!AC35</f>
        <v/>
      </c>
    </row>
    <row r="14" customFormat="1" s="16">
      <c r="A14" s="21" t="n">
        <v>11</v>
      </c>
      <c r="B14" s="14" t="inlineStr">
        <is>
          <t>Қўқон</t>
        </is>
      </c>
      <c r="C14" s="15">
        <f>Худудлар!X35</f>
        <v/>
      </c>
      <c r="D14" s="15">
        <f>Худудлар!Y35</f>
        <v/>
      </c>
    </row>
    <row r="15" customFormat="1" s="16">
      <c r="A15" s="21" t="n">
        <v>12</v>
      </c>
      <c r="B15" s="14" t="inlineStr">
        <is>
          <t>Урганч</t>
        </is>
      </c>
      <c r="C15" s="15">
        <f>Худудлар!AF35</f>
        <v/>
      </c>
      <c r="D15" s="15">
        <f>Худудлар!AG35</f>
        <v/>
      </c>
    </row>
    <row r="16" customFormat="1" s="16">
      <c r="A16" s="21" t="n">
        <v>13</v>
      </c>
      <c r="B16" s="14" t="inlineStr">
        <is>
          <t>Хива</t>
        </is>
      </c>
      <c r="C16" s="15">
        <f>Худудлар!H35</f>
        <v/>
      </c>
      <c r="D16" s="15">
        <f>Худудлар!I35</f>
        <v/>
      </c>
    </row>
    <row r="17" customFormat="1" s="16">
      <c r="A17" s="21" t="n">
        <v>14</v>
      </c>
      <c r="B17" s="17" t="inlineStr">
        <is>
          <t>Наманган</t>
        </is>
      </c>
      <c r="C17" s="15">
        <f>Худудлар!P35</f>
        <v/>
      </c>
      <c r="D17" s="15">
        <f>Худудлар!Q35</f>
        <v/>
      </c>
    </row>
    <row r="18">
      <c r="A18" s="21" t="n">
        <v>15</v>
      </c>
      <c r="B18" s="33" t="inlineStr">
        <is>
          <t>Навои</t>
        </is>
      </c>
      <c r="C18" s="15">
        <f>Худудлар!N35</f>
        <v/>
      </c>
      <c r="D18" s="15">
        <f>Худудлар!O35</f>
        <v/>
      </c>
    </row>
    <row r="19">
      <c r="A19" s="21" t="n"/>
      <c r="B19" s="33" t="n"/>
      <c r="C19" s="15" t="n"/>
      <c r="D19" s="15" t="n"/>
    </row>
    <row r="20" ht="20.25" customHeight="1">
      <c r="A20" s="32" t="inlineStr">
        <is>
          <t>Жами:</t>
        </is>
      </c>
      <c r="B20" s="32" t="n"/>
      <c r="C20" s="29">
        <f>SUM(C4:C18)</f>
        <v/>
      </c>
      <c r="D20" s="30">
        <f>SUM(D4:D18)</f>
        <v/>
      </c>
    </row>
    <row r="21" ht="20.25" customHeight="1">
      <c r="A21" s="60" t="n"/>
      <c r="B21" s="60" t="n"/>
      <c r="C21" s="61" t="n"/>
      <c r="D21" s="62" t="n"/>
    </row>
    <row r="22" ht="20.25" customHeight="1">
      <c r="A22" s="60" t="n"/>
      <c r="B22" s="60" t="n"/>
      <c r="C22" s="61" t="n"/>
      <c r="D22" s="62" t="n"/>
    </row>
    <row r="23" ht="20.25" customHeight="1">
      <c r="A23" s="60" t="n"/>
      <c r="B23" s="60" t="n"/>
      <c r="C23" s="61" t="n"/>
      <c r="D23" s="62" t="n"/>
    </row>
    <row r="24" ht="15" customFormat="1" customHeight="1" s="16"/>
    <row r="25" ht="73.5" customHeight="1">
      <c r="A25" s="124" t="inlineStr">
        <is>
          <t xml:space="preserve">Инфокиоскалардан  1-Июнь 31-Июль кунига қадар сотилган чипталар
 тўғрисида маълумотнома (худудлар кесимида (сотилган чипталар сони)) </t>
        </is>
      </c>
      <c r="B25" s="125" t="n"/>
      <c r="C25" s="125" t="n"/>
      <c r="D25" s="126" t="n"/>
    </row>
    <row r="26" ht="43.5" customHeight="1">
      <c r="A26" s="18" t="inlineStr">
        <is>
          <t>№</t>
        </is>
      </c>
      <c r="B26" s="18" t="inlineStr">
        <is>
          <t>Худуд</t>
        </is>
      </c>
      <c r="C26" s="19" t="inlineStr">
        <is>
          <t>Сони</t>
        </is>
      </c>
      <c r="D26" s="19" t="inlineStr">
        <is>
          <t>Сумма</t>
        </is>
      </c>
    </row>
    <row r="27">
      <c r="A27" s="21" t="n">
        <v>1</v>
      </c>
      <c r="B27" s="14" t="inlineStr">
        <is>
          <t>Самарқанд</t>
        </is>
      </c>
      <c r="C27" s="15" t="n">
        <v>1480</v>
      </c>
      <c r="D27" s="15" t="n">
        <v>370227290</v>
      </c>
    </row>
    <row r="28">
      <c r="A28" s="21" t="n">
        <v>2</v>
      </c>
      <c r="B28" s="14" t="inlineStr">
        <is>
          <t>Бухоро</t>
        </is>
      </c>
      <c r="C28" s="15" t="n">
        <v>737</v>
      </c>
      <c r="D28" s="15" t="n">
        <v>217465760</v>
      </c>
    </row>
    <row r="29">
      <c r="A29" s="21" t="n">
        <v>3</v>
      </c>
      <c r="B29" s="14" t="inlineStr">
        <is>
          <t>Тошкент Жанубий</t>
        </is>
      </c>
      <c r="C29" s="15" t="n">
        <v>457</v>
      </c>
      <c r="D29" s="15" t="n">
        <v>138862370</v>
      </c>
    </row>
    <row r="30">
      <c r="A30" s="21" t="n">
        <v>4</v>
      </c>
      <c r="B30" s="14" t="inlineStr">
        <is>
          <t>Нукус</t>
        </is>
      </c>
      <c r="C30" s="15" t="n">
        <v>415</v>
      </c>
      <c r="D30" s="15" t="n">
        <v>162531550</v>
      </c>
    </row>
    <row r="31">
      <c r="A31" s="21" t="n">
        <v>5</v>
      </c>
      <c r="B31" s="14" t="inlineStr">
        <is>
          <t>Тошкент Шимолий</t>
        </is>
      </c>
      <c r="C31" s="15" t="n">
        <v>398</v>
      </c>
      <c r="D31" s="15" t="n">
        <v>133252470</v>
      </c>
    </row>
    <row r="32">
      <c r="A32" s="21" t="n">
        <v>6</v>
      </c>
      <c r="B32" s="14" t="inlineStr">
        <is>
          <t>Карши</t>
        </is>
      </c>
      <c r="C32" s="15" t="n">
        <v>373</v>
      </c>
      <c r="D32" s="15" t="n">
        <v>87862680</v>
      </c>
    </row>
    <row r="33">
      <c r="A33" s="21" t="n">
        <v>7</v>
      </c>
      <c r="B33" s="14" t="inlineStr">
        <is>
          <t>Марғилон</t>
        </is>
      </c>
      <c r="C33" s="15" t="n">
        <v>304</v>
      </c>
      <c r="D33" s="15" t="n">
        <v>63832180</v>
      </c>
    </row>
    <row r="34">
      <c r="A34" s="21" t="n">
        <v>8</v>
      </c>
      <c r="B34" s="14" t="inlineStr">
        <is>
          <t>Андижон</t>
        </is>
      </c>
      <c r="C34" s="15" t="n">
        <v>263</v>
      </c>
      <c r="D34" s="15" t="n">
        <v>57411800</v>
      </c>
    </row>
    <row r="35">
      <c r="A35" s="21" t="n">
        <v>9</v>
      </c>
      <c r="B35" s="14" t="inlineStr">
        <is>
          <t>Қўқон</t>
        </is>
      </c>
      <c r="C35" s="15" t="n">
        <v>243</v>
      </c>
      <c r="D35" s="15" t="n">
        <v>49759550</v>
      </c>
    </row>
    <row r="36">
      <c r="A36" s="21" t="n">
        <v>10</v>
      </c>
      <c r="B36" s="14" t="inlineStr">
        <is>
          <t>Термиз</t>
        </is>
      </c>
      <c r="C36" s="15" t="n">
        <v>221</v>
      </c>
      <c r="D36" s="15" t="n">
        <v>53706200</v>
      </c>
    </row>
    <row r="37">
      <c r="A37" s="21" t="n">
        <v>11</v>
      </c>
      <c r="B37" s="14" t="inlineStr">
        <is>
          <t>Қўнғрод</t>
        </is>
      </c>
      <c r="C37" s="15" t="n">
        <v>174</v>
      </c>
      <c r="D37" s="15" t="n">
        <v>62762680</v>
      </c>
    </row>
    <row r="38">
      <c r="A38" s="21" t="n">
        <v>12</v>
      </c>
      <c r="B38" s="14" t="inlineStr">
        <is>
          <t>Урганч</t>
        </is>
      </c>
      <c r="C38" s="15" t="n">
        <v>66</v>
      </c>
      <c r="D38" s="15" t="n">
        <v>25555020</v>
      </c>
    </row>
    <row r="39">
      <c r="A39" s="21" t="n">
        <v>13</v>
      </c>
      <c r="B39" s="17" t="inlineStr">
        <is>
          <t>Наманган</t>
        </is>
      </c>
      <c r="C39" s="15" t="n">
        <v>57</v>
      </c>
      <c r="D39" s="15" t="n">
        <v>12032600</v>
      </c>
    </row>
    <row r="40">
      <c r="A40" s="21" t="n">
        <v>14</v>
      </c>
      <c r="B40" s="14" t="inlineStr">
        <is>
          <t>Хива</t>
        </is>
      </c>
      <c r="C40" s="15" t="n">
        <v>40</v>
      </c>
      <c r="D40" s="15" t="n">
        <v>13532360</v>
      </c>
    </row>
    <row r="41">
      <c r="A41" s="21" t="n">
        <v>15</v>
      </c>
      <c r="B41" s="14" t="inlineStr">
        <is>
          <t>Навои</t>
        </is>
      </c>
      <c r="C41" s="15" t="n">
        <v>27</v>
      </c>
      <c r="D41" s="15" t="n">
        <v>8196890</v>
      </c>
    </row>
    <row r="42">
      <c r="A42" s="21" t="n"/>
      <c r="B42" s="14" t="n"/>
      <c r="C42" s="15" t="n"/>
      <c r="D42" s="15" t="n"/>
    </row>
    <row r="43" ht="20.25" customHeight="1">
      <c r="A43" s="31" t="inlineStr">
        <is>
          <t>Жами:</t>
        </is>
      </c>
      <c r="B43" s="28" t="n"/>
      <c r="C43" s="29">
        <f>SUM(C27:C41)</f>
        <v/>
      </c>
      <c r="D43" s="30">
        <f>SUM(D27:D41)</f>
        <v/>
      </c>
    </row>
  </sheetData>
  <mergeCells count="2">
    <mergeCell ref="A25:D25"/>
    <mergeCell ref="A2:D2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6"/>
  <sheetViews>
    <sheetView zoomScale="85" zoomScaleNormal="85" workbookViewId="0">
      <selection activeCell="D10" sqref="D10:AG10"/>
    </sheetView>
  </sheetViews>
  <sheetFormatPr baseColWidth="8" defaultRowHeight="15"/>
  <cols>
    <col width="13.140625" customWidth="1" min="1" max="1"/>
    <col width="11.28515625" bestFit="1" customWidth="1" min="2" max="2"/>
    <col width="20.140625" bestFit="1" customWidth="1" min="3" max="3"/>
    <col width="9.85546875" bestFit="1" customWidth="1" min="4" max="4"/>
    <col width="18" bestFit="1" customWidth="1" min="5" max="5"/>
    <col width="9.85546875" bestFit="1" customWidth="1" min="6" max="6"/>
    <col width="18" bestFit="1" customWidth="1" min="7" max="7"/>
    <col width="9.85546875" bestFit="1" customWidth="1" min="8" max="8"/>
    <col width="20.140625" bestFit="1" customWidth="1" min="9" max="9"/>
    <col width="8.7109375" bestFit="1" customWidth="1" min="10" max="10"/>
    <col width="16.42578125" bestFit="1" customWidth="1" min="11" max="11"/>
    <col width="9.85546875" bestFit="1" customWidth="1" min="12" max="12"/>
    <col width="18" bestFit="1" customWidth="1" min="13" max="13"/>
    <col width="9.85546875" bestFit="1" customWidth="1" min="14" max="14"/>
    <col width="18" bestFit="1" customWidth="1" min="15" max="15"/>
    <col width="8.7109375" bestFit="1" customWidth="1" min="16" max="16"/>
    <col width="18" bestFit="1" customWidth="1" min="17" max="17"/>
    <col width="8.7109375" bestFit="1" customWidth="1" min="18" max="18"/>
    <col width="16.42578125" bestFit="1" customWidth="1" min="19" max="19"/>
    <col width="9.85546875" bestFit="1" customWidth="1" min="20" max="20"/>
    <col width="18" bestFit="1" customWidth="1" min="21" max="21"/>
    <col width="9.85546875" bestFit="1" customWidth="1" min="22" max="22"/>
    <col width="18" bestFit="1" customWidth="1" min="23" max="23"/>
    <col width="8.7109375" bestFit="1" customWidth="1" min="24" max="24"/>
    <col width="18" bestFit="1" customWidth="1" min="25" max="25"/>
    <col width="9.85546875" bestFit="1" customWidth="1" min="26" max="26"/>
    <col width="18" bestFit="1" customWidth="1" min="27" max="27"/>
    <col width="8.7109375" bestFit="1" customWidth="1" min="28" max="28"/>
    <col width="18" bestFit="1" customWidth="1" min="29" max="29"/>
    <col width="9.85546875" bestFit="1" customWidth="1" min="30" max="30"/>
    <col width="18" bestFit="1" customWidth="1" min="31" max="31"/>
    <col width="8.7109375" bestFit="1" customWidth="1" min="32" max="32"/>
    <col width="16.42578125" bestFit="1" customWidth="1" min="33" max="33"/>
  </cols>
  <sheetData>
    <row r="1" ht="44.25" customHeight="1">
      <c r="A1" s="106" t="inlineStr">
        <is>
          <t>Чиптаҳоналардаги киоскалардан сотилган
 чипталар тўғрисида маълумотнома (ойлар кесимида)</t>
        </is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5" t="n"/>
      <c r="S1" s="125" t="n"/>
      <c r="T1" s="125" t="n"/>
      <c r="U1" s="125" t="n"/>
      <c r="V1" s="125" t="n"/>
      <c r="W1" s="125" t="n"/>
      <c r="X1" s="125" t="n"/>
      <c r="Y1" s="125" t="n"/>
      <c r="Z1" s="125" t="n"/>
      <c r="AA1" s="125" t="n"/>
      <c r="AB1" s="125" t="n"/>
      <c r="AC1" s="125" t="n"/>
      <c r="AD1" s="125" t="n"/>
      <c r="AE1" s="125" t="n"/>
      <c r="AF1" s="125" t="n"/>
      <c r="AG1" s="126" t="n"/>
    </row>
    <row r="2" ht="20.25" customHeight="1">
      <c r="A2" s="107" t="inlineStr">
        <is>
          <t>Худуд</t>
        </is>
      </c>
      <c r="B2" s="124" t="inlineStr">
        <is>
          <t>Жами</t>
        </is>
      </c>
      <c r="C2" s="126" t="n"/>
      <c r="D2" s="108" t="inlineStr">
        <is>
          <t>Тошкент Марказий</t>
        </is>
      </c>
      <c r="E2" s="126" t="n"/>
      <c r="F2" s="108" t="inlineStr">
        <is>
          <t>Тошкент Жанубий</t>
        </is>
      </c>
      <c r="G2" s="126" t="n"/>
      <c r="H2" s="108" t="inlineStr">
        <is>
          <t>Самарканд</t>
        </is>
      </c>
      <c r="I2" s="126" t="n"/>
      <c r="J2" s="108" t="inlineStr">
        <is>
          <t>Навои</t>
        </is>
      </c>
      <c r="K2" s="126" t="n"/>
      <c r="L2" s="108" t="inlineStr">
        <is>
          <t>Бухоро</t>
        </is>
      </c>
      <c r="M2" s="126" t="n"/>
      <c r="N2" s="108" t="inlineStr">
        <is>
          <t>Нукус</t>
        </is>
      </c>
      <c r="O2" s="126" t="n"/>
      <c r="P2" s="108" t="inlineStr">
        <is>
          <t>Ургенч</t>
        </is>
      </c>
      <c r="Q2" s="126" t="n"/>
      <c r="R2" s="108" t="inlineStr">
        <is>
          <t>Хива</t>
        </is>
      </c>
      <c r="S2" s="126" t="n"/>
      <c r="T2" s="108" t="inlineStr">
        <is>
          <t>Карши</t>
        </is>
      </c>
      <c r="U2" s="126" t="n"/>
      <c r="V2" s="105" t="inlineStr">
        <is>
          <t>Термез</t>
        </is>
      </c>
      <c r="W2" s="126" t="n"/>
      <c r="X2" s="105" t="inlineStr">
        <is>
          <t>Кунгрод</t>
        </is>
      </c>
      <c r="Y2" s="126" t="n"/>
      <c r="Z2" s="105" t="inlineStr">
        <is>
          <t>Андижон</t>
        </is>
      </c>
      <c r="AA2" s="126" t="n"/>
      <c r="AB2" s="105" t="inlineStr">
        <is>
          <t>Қўқон</t>
        </is>
      </c>
      <c r="AC2" s="126" t="n"/>
      <c r="AD2" s="105" t="inlineStr">
        <is>
          <t>Марғилон</t>
        </is>
      </c>
      <c r="AE2" s="126" t="n"/>
      <c r="AF2" s="105" t="inlineStr">
        <is>
          <t>Наманган</t>
        </is>
      </c>
      <c r="AG2" s="126" t="n"/>
    </row>
    <row r="3" ht="20.25" customHeight="1">
      <c r="A3" s="127" t="n"/>
      <c r="B3" s="70" t="inlineStr">
        <is>
          <t>Сони</t>
        </is>
      </c>
      <c r="C3" s="70" t="inlineStr">
        <is>
          <t>Сумма</t>
        </is>
      </c>
      <c r="D3" s="105" t="inlineStr">
        <is>
          <t>Сони</t>
        </is>
      </c>
      <c r="E3" s="105" t="inlineStr">
        <is>
          <t>Сумма</t>
        </is>
      </c>
      <c r="F3" s="105" t="inlineStr">
        <is>
          <t>Сони</t>
        </is>
      </c>
      <c r="G3" s="105" t="inlineStr">
        <is>
          <t>Сумма</t>
        </is>
      </c>
      <c r="H3" s="105" t="inlineStr">
        <is>
          <t>Сони</t>
        </is>
      </c>
      <c r="I3" s="105" t="inlineStr">
        <is>
          <t>Сумма</t>
        </is>
      </c>
      <c r="J3" s="105" t="inlineStr">
        <is>
          <t>Сони</t>
        </is>
      </c>
      <c r="K3" s="105" t="inlineStr">
        <is>
          <t>Сумма</t>
        </is>
      </c>
      <c r="L3" s="105" t="inlineStr">
        <is>
          <t>Сони</t>
        </is>
      </c>
      <c r="M3" s="105" t="inlineStr">
        <is>
          <t>Сумма</t>
        </is>
      </c>
      <c r="N3" s="105" t="inlineStr">
        <is>
          <t>Сони</t>
        </is>
      </c>
      <c r="O3" s="105" t="inlineStr">
        <is>
          <t>Сумма</t>
        </is>
      </c>
      <c r="P3" s="105" t="inlineStr">
        <is>
          <t>Сони</t>
        </is>
      </c>
      <c r="Q3" s="105" t="inlineStr">
        <is>
          <t>Сумма</t>
        </is>
      </c>
      <c r="R3" s="105" t="inlineStr">
        <is>
          <t>Сони</t>
        </is>
      </c>
      <c r="S3" s="105" t="inlineStr">
        <is>
          <t>Сумма</t>
        </is>
      </c>
      <c r="T3" s="105" t="inlineStr">
        <is>
          <t>Сони</t>
        </is>
      </c>
      <c r="U3" s="105" t="inlineStr">
        <is>
          <t>Сумма</t>
        </is>
      </c>
      <c r="V3" s="105" t="inlineStr">
        <is>
          <t>Сони</t>
        </is>
      </c>
      <c r="W3" s="105" t="inlineStr">
        <is>
          <t>Сумма</t>
        </is>
      </c>
      <c r="X3" s="105" t="inlineStr">
        <is>
          <t>Сони</t>
        </is>
      </c>
      <c r="Y3" s="105" t="inlineStr">
        <is>
          <t>Сумма</t>
        </is>
      </c>
      <c r="Z3" s="105" t="inlineStr">
        <is>
          <t>Сони</t>
        </is>
      </c>
      <c r="AA3" s="105" t="inlineStr">
        <is>
          <t>Сумма</t>
        </is>
      </c>
      <c r="AB3" s="105" t="inlineStr">
        <is>
          <t>Сони</t>
        </is>
      </c>
      <c r="AC3" s="105" t="inlineStr">
        <is>
          <t>Сумма</t>
        </is>
      </c>
      <c r="AD3" s="105" t="inlineStr">
        <is>
          <t>Сони</t>
        </is>
      </c>
      <c r="AE3" s="105" t="inlineStr">
        <is>
          <t>Сумма</t>
        </is>
      </c>
      <c r="AF3" s="105" t="inlineStr">
        <is>
          <t>Сони</t>
        </is>
      </c>
      <c r="AG3" s="105" t="inlineStr">
        <is>
          <t>Сумма</t>
        </is>
      </c>
    </row>
    <row r="4" ht="18.75" customHeight="1">
      <c r="A4" s="21" t="inlineStr">
        <is>
          <t>Январь</t>
        </is>
      </c>
      <c r="B4" s="71">
        <f>D4+F4+H4+J4+L4+N4+P4+R4+T4+V4+X4+Z4+AB4+AD4+AF4</f>
        <v/>
      </c>
      <c r="C4" s="71">
        <f>E4+G4+I4+K4+M4+O4+Q4+S4+U4+W4+Y4+AA4+AC4+AE4+AG4</f>
        <v/>
      </c>
      <c r="D4" s="56" t="n">
        <v>393</v>
      </c>
      <c r="E4" s="56" t="n">
        <v>128161410</v>
      </c>
      <c r="F4" s="56" t="n">
        <v>159</v>
      </c>
      <c r="G4" s="56" t="n">
        <v>54581230</v>
      </c>
      <c r="H4" s="56" t="n">
        <v>573</v>
      </c>
      <c r="I4" s="56" t="n">
        <v>127638850</v>
      </c>
      <c r="J4" s="56" t="n">
        <v>60</v>
      </c>
      <c r="K4" s="56" t="n">
        <v>11090840</v>
      </c>
      <c r="L4" s="56" t="n">
        <v>68</v>
      </c>
      <c r="M4" s="56" t="n">
        <v>14072500</v>
      </c>
      <c r="N4" s="56" t="n">
        <v>212</v>
      </c>
      <c r="O4" s="56" t="n">
        <v>75296380</v>
      </c>
      <c r="P4" s="56" t="n">
        <v>90</v>
      </c>
      <c r="Q4" s="56" t="n">
        <v>21169260</v>
      </c>
      <c r="R4" s="56" t="n">
        <v>40</v>
      </c>
      <c r="S4" s="56" t="n">
        <v>10032280</v>
      </c>
      <c r="T4" s="56" t="n">
        <v>144</v>
      </c>
      <c r="U4" s="56" t="n">
        <v>29875380</v>
      </c>
      <c r="V4" s="56" t="n">
        <v>142</v>
      </c>
      <c r="W4" s="56" t="n">
        <v>29047220</v>
      </c>
      <c r="X4" s="56" t="n">
        <v>6</v>
      </c>
      <c r="Y4" s="56" t="n">
        <v>2519510</v>
      </c>
      <c r="Z4" s="56" t="n">
        <v>111</v>
      </c>
      <c r="AA4" s="56" t="n">
        <v>23775260</v>
      </c>
      <c r="AB4" s="56" t="n">
        <v>81</v>
      </c>
      <c r="AC4" s="56" t="n">
        <v>18504850</v>
      </c>
      <c r="AD4" s="56" t="n">
        <v>432</v>
      </c>
      <c r="AE4" s="56" t="n">
        <v>145134680</v>
      </c>
      <c r="AF4" s="56" t="n">
        <v>93</v>
      </c>
      <c r="AG4" s="56" t="n">
        <v>20428840</v>
      </c>
    </row>
    <row r="5" ht="18.75" customHeight="1">
      <c r="A5" s="21" t="inlineStr">
        <is>
          <t>Февраль</t>
        </is>
      </c>
      <c r="B5" s="71">
        <f>D5+F5+H5+J5+L5+N5+P5+R5+T5+V5+X5+Z5+AB5+AD5+AF5</f>
        <v/>
      </c>
      <c r="C5" s="71">
        <f>E5+G5+I5+K5+M5+O5+Q5+S5+U5+W5+Y5+AA5+AC5+AE5+AG5</f>
        <v/>
      </c>
      <c r="D5" s="56" t="n">
        <v>280</v>
      </c>
      <c r="E5" s="56" t="n">
        <v>84371130</v>
      </c>
      <c r="F5" s="56" t="n">
        <v>69</v>
      </c>
      <c r="G5" s="56" t="n">
        <v>20794540</v>
      </c>
      <c r="H5" s="56" t="n">
        <v>945</v>
      </c>
      <c r="I5" s="56" t="n">
        <v>224851440</v>
      </c>
      <c r="J5" s="56" t="n">
        <v>15</v>
      </c>
      <c r="K5" s="56" t="n">
        <v>3582380</v>
      </c>
      <c r="L5" s="56" t="n">
        <v>38</v>
      </c>
      <c r="M5" s="56" t="n">
        <v>8572500</v>
      </c>
      <c r="N5" s="56" t="n">
        <v>82</v>
      </c>
      <c r="O5" s="56" t="n">
        <v>28047020</v>
      </c>
      <c r="P5" s="56" t="n">
        <v>95</v>
      </c>
      <c r="Q5" s="56" t="n">
        <v>23630330</v>
      </c>
      <c r="R5" s="56" t="n">
        <v>37</v>
      </c>
      <c r="S5" s="56" t="n">
        <v>8684810</v>
      </c>
      <c r="T5" s="56" t="n">
        <v>50</v>
      </c>
      <c r="U5" s="56" t="n">
        <v>11934960</v>
      </c>
      <c r="V5" s="56" t="n">
        <v>205</v>
      </c>
      <c r="W5" s="56" t="n">
        <v>49185120</v>
      </c>
      <c r="X5" s="56" t="n">
        <v>3</v>
      </c>
      <c r="Y5" s="56" t="n">
        <v>998990</v>
      </c>
      <c r="Z5" s="56" t="n">
        <v>142</v>
      </c>
      <c r="AA5" s="56" t="n">
        <v>29655970</v>
      </c>
      <c r="AB5" s="56" t="n">
        <v>183</v>
      </c>
      <c r="AC5" s="56" t="n">
        <v>47086220</v>
      </c>
      <c r="AD5" s="56" t="n">
        <v>475</v>
      </c>
      <c r="AE5" s="56" t="n">
        <v>156561430</v>
      </c>
      <c r="AF5" s="56" t="n">
        <v>35</v>
      </c>
      <c r="AG5" s="56" t="n">
        <v>8078000</v>
      </c>
    </row>
    <row r="6" ht="18.75" customHeight="1">
      <c r="A6" s="21" t="inlineStr">
        <is>
          <t>Март</t>
        </is>
      </c>
      <c r="B6" s="71">
        <f>D6+F6+H6+J6+L6+N6+P6+R6+T6+V6+X6+Z6+AB6+AD6+AF6</f>
        <v/>
      </c>
      <c r="C6" s="71">
        <f>E6+G6+I6+K6+M6+O6+Q6+S6+U6+W6+Y6+AA6+AC6+AE6+AG6</f>
        <v/>
      </c>
      <c r="D6" s="56">
        <f>[1]Худудлар!D35</f>
        <v/>
      </c>
      <c r="E6" s="56">
        <f>[1]Худудлар!E35</f>
        <v/>
      </c>
      <c r="F6" s="56">
        <f>[1]Худудлар!F35</f>
        <v/>
      </c>
      <c r="G6" s="56">
        <f>[1]Худудлар!G35</f>
        <v/>
      </c>
      <c r="H6" s="56">
        <f>[1]Худудлар!H35</f>
        <v/>
      </c>
      <c r="I6" s="56">
        <f>[1]Худудлар!I35</f>
        <v/>
      </c>
      <c r="J6" s="56">
        <f>[1]Худудлар!J35</f>
        <v/>
      </c>
      <c r="K6" s="56">
        <f>[1]Худудлар!K35</f>
        <v/>
      </c>
      <c r="L6" s="56">
        <f>[1]Худудлар!L35</f>
        <v/>
      </c>
      <c r="M6" s="56">
        <f>[1]Худудлар!M35</f>
        <v/>
      </c>
      <c r="N6" s="56">
        <f>[1]Худудлар!N35</f>
        <v/>
      </c>
      <c r="O6" s="56">
        <f>[1]Худудлар!O35</f>
        <v/>
      </c>
      <c r="P6" s="56">
        <f>[1]Худудлар!P35</f>
        <v/>
      </c>
      <c r="Q6" s="56">
        <f>[1]Худудлар!Q35</f>
        <v/>
      </c>
      <c r="R6" s="56">
        <f>[1]Худудлар!R35</f>
        <v/>
      </c>
      <c r="S6" s="56">
        <f>[1]Худудлар!S35</f>
        <v/>
      </c>
      <c r="T6" s="56">
        <f>[1]Худудлар!T35</f>
        <v/>
      </c>
      <c r="U6" s="56">
        <f>[1]Худудлар!U35</f>
        <v/>
      </c>
      <c r="V6" s="56">
        <f>[1]Худудлар!V35</f>
        <v/>
      </c>
      <c r="W6" s="56">
        <f>[1]Худудлар!W35</f>
        <v/>
      </c>
      <c r="X6" s="56">
        <f>[1]Худудлар!X35</f>
        <v/>
      </c>
      <c r="Y6" s="56">
        <f>[1]Худудлар!Y35</f>
        <v/>
      </c>
      <c r="Z6" s="56">
        <f>[1]Худудлар!Z35</f>
        <v/>
      </c>
      <c r="AA6" s="56">
        <f>[1]Худудлар!AA35</f>
        <v/>
      </c>
      <c r="AB6" s="56">
        <f>[1]Худудлар!AB35</f>
        <v/>
      </c>
      <c r="AC6" s="56">
        <f>[1]Худудлар!AC35</f>
        <v/>
      </c>
      <c r="AD6" s="56">
        <f>[1]Худудлар!AD35</f>
        <v/>
      </c>
      <c r="AE6" s="56">
        <f>[1]Худудлар!AE35</f>
        <v/>
      </c>
      <c r="AF6" s="56">
        <f>[1]Худудлар!AF35</f>
        <v/>
      </c>
      <c r="AG6" s="56">
        <f>[1]Худудлар!AG35</f>
        <v/>
      </c>
    </row>
    <row r="7" ht="18.75" customHeight="1">
      <c r="A7" s="21" t="inlineStr">
        <is>
          <t>Апрель</t>
        </is>
      </c>
      <c r="B7" s="71">
        <f>D7+F7+H7+J7+L7+N7+P7+R7+T7+V7+X7+Z7+AB7+AD7+AF7</f>
        <v/>
      </c>
      <c r="C7" s="71">
        <f>E7+G7+I7+K7+M7+O7+Q7+S7+U7+W7+Y7+AA7+AC7+AE7+AG7</f>
        <v/>
      </c>
      <c r="D7" s="56" t="n">
        <v>216</v>
      </c>
      <c r="E7" s="56" t="n">
        <v>63491570</v>
      </c>
      <c r="F7" s="56" t="n">
        <v>45</v>
      </c>
      <c r="G7" s="56" t="n">
        <v>10159020</v>
      </c>
      <c r="H7" s="56" t="n">
        <v>678</v>
      </c>
      <c r="I7" s="56" t="n">
        <v>154274360</v>
      </c>
      <c r="J7" s="56" t="n">
        <v>8</v>
      </c>
      <c r="K7" s="56" t="n">
        <v>2140410</v>
      </c>
      <c r="L7" s="56" t="n">
        <v>344</v>
      </c>
      <c r="M7" s="56" t="n">
        <v>82793410</v>
      </c>
      <c r="N7" s="56" t="n">
        <v>53</v>
      </c>
      <c r="O7" s="56" t="n">
        <v>14185040</v>
      </c>
      <c r="P7" s="56" t="n">
        <v>42</v>
      </c>
      <c r="Q7" s="56" t="n">
        <v>17075050</v>
      </c>
      <c r="R7" s="56" t="n">
        <v>43</v>
      </c>
      <c r="S7" s="56" t="n">
        <v>8515850</v>
      </c>
      <c r="T7" s="56" t="n">
        <v>160</v>
      </c>
      <c r="U7" s="56" t="n">
        <v>34816240</v>
      </c>
      <c r="V7" s="56" t="n">
        <v>142</v>
      </c>
      <c r="W7" s="56" t="n">
        <v>39152570</v>
      </c>
      <c r="X7" s="56" t="n">
        <v>0</v>
      </c>
      <c r="Y7" s="56" t="n">
        <v>0</v>
      </c>
      <c r="Z7" s="56" t="n">
        <v>105</v>
      </c>
      <c r="AA7" s="56" t="n">
        <v>25415290</v>
      </c>
      <c r="AB7" s="56" t="n">
        <v>100</v>
      </c>
      <c r="AC7" s="56" t="n">
        <v>21612820</v>
      </c>
      <c r="AD7" s="56" t="n">
        <v>186</v>
      </c>
      <c r="AE7" s="56" t="n">
        <v>39046330</v>
      </c>
      <c r="AF7" s="56" t="n">
        <v>34</v>
      </c>
      <c r="AG7" s="56" t="n">
        <v>8027260</v>
      </c>
    </row>
    <row r="8" ht="18.75" customHeight="1">
      <c r="A8" s="21" t="inlineStr">
        <is>
          <t>Май</t>
        </is>
      </c>
      <c r="B8" s="71">
        <f>D8+F8+H8+J8+L8+N8+P8+R8+T8+V8+X8+Z8+AB8+AD8+AF8</f>
        <v/>
      </c>
      <c r="C8" s="71">
        <f>E8+G8+I8+K8+M8+O8+Q8+S8+U8+W8+Y8+AA8+AC8+AE8+AG8</f>
        <v/>
      </c>
      <c r="D8" s="56" t="n">
        <v>371</v>
      </c>
      <c r="E8" s="56" t="n">
        <v>122824550</v>
      </c>
      <c r="F8" s="56" t="n">
        <v>91</v>
      </c>
      <c r="G8" s="56" t="n">
        <v>22632580</v>
      </c>
      <c r="H8" s="56" t="n">
        <v>856</v>
      </c>
      <c r="I8" s="56" t="n">
        <v>223402850</v>
      </c>
      <c r="J8" s="56" t="n">
        <v>20</v>
      </c>
      <c r="K8" s="56" t="n">
        <v>2955370</v>
      </c>
      <c r="L8" s="56" t="n">
        <v>423</v>
      </c>
      <c r="M8" s="56" t="n">
        <v>100384500</v>
      </c>
      <c r="N8" s="56" t="n">
        <v>180</v>
      </c>
      <c r="O8" s="56" t="n">
        <v>69428490</v>
      </c>
      <c r="P8" s="56" t="n">
        <v>53</v>
      </c>
      <c r="Q8" s="56" t="n">
        <v>14303130</v>
      </c>
      <c r="R8" s="56" t="n">
        <v>43</v>
      </c>
      <c r="S8" s="56" t="n">
        <v>8886550</v>
      </c>
      <c r="T8" s="56" t="n">
        <v>142</v>
      </c>
      <c r="U8" s="56" t="n">
        <v>29756940</v>
      </c>
      <c r="V8" s="56" t="n">
        <v>198</v>
      </c>
      <c r="W8" s="56" t="n">
        <v>46230660</v>
      </c>
      <c r="X8" s="56" t="n">
        <v>92</v>
      </c>
      <c r="Y8" s="56" t="n">
        <v>43744620</v>
      </c>
      <c r="Z8" s="56" t="n">
        <v>109</v>
      </c>
      <c r="AA8" s="56" t="n">
        <v>21501010</v>
      </c>
      <c r="AB8" s="56" t="n">
        <v>108</v>
      </c>
      <c r="AC8" s="56" t="n">
        <v>20383150</v>
      </c>
      <c r="AD8" s="56" t="n">
        <v>195</v>
      </c>
      <c r="AE8" s="56" t="n">
        <v>44705360</v>
      </c>
      <c r="AF8" s="56" t="n">
        <v>26</v>
      </c>
      <c r="AG8" s="56" t="n">
        <v>4135240</v>
      </c>
    </row>
    <row r="9" ht="18.75" customHeight="1">
      <c r="A9" s="21" t="inlineStr">
        <is>
          <t>Июнь</t>
        </is>
      </c>
      <c r="B9" s="71">
        <f>D9+F9+H9+J9+L9+N9+P9+R9+T9+V9+X9+Z9+AB9+AD9+AF9</f>
        <v/>
      </c>
      <c r="C9" s="71">
        <f>E9+G9+I9+K9+M9+O9+Q9+S9+U9+W9+Y9+AA9+AC9+AE9+AG9</f>
        <v/>
      </c>
      <c r="D9" s="56" t="n">
        <v>362</v>
      </c>
      <c r="E9" s="56" t="n">
        <v>109026850</v>
      </c>
      <c r="F9" s="56" t="n">
        <v>398</v>
      </c>
      <c r="G9" s="56" t="n">
        <v>106133150</v>
      </c>
      <c r="H9" s="56" t="n">
        <v>1251</v>
      </c>
      <c r="I9" s="56" t="n">
        <v>305409040</v>
      </c>
      <c r="J9" s="56" t="n">
        <v>15</v>
      </c>
      <c r="K9" s="56" t="n">
        <v>4161890</v>
      </c>
      <c r="L9" s="56" t="n">
        <v>846</v>
      </c>
      <c r="M9" s="56" t="n">
        <v>237115560</v>
      </c>
      <c r="N9" s="56" t="n">
        <v>232</v>
      </c>
      <c r="O9" s="56" t="n">
        <v>89055210</v>
      </c>
      <c r="P9" s="56" t="n">
        <v>188</v>
      </c>
      <c r="Q9" s="56" t="n">
        <v>53910560</v>
      </c>
      <c r="R9" s="56" t="n">
        <v>70</v>
      </c>
      <c r="S9" s="56" t="n">
        <v>19113270</v>
      </c>
      <c r="T9" s="56" t="n">
        <v>366</v>
      </c>
      <c r="U9" s="56" t="n">
        <v>84209810</v>
      </c>
      <c r="V9" s="56" t="n">
        <v>333</v>
      </c>
      <c r="W9" s="56" t="n">
        <v>73708360</v>
      </c>
      <c r="X9" s="56" t="n">
        <v>158</v>
      </c>
      <c r="Y9" s="56" t="n">
        <v>59234100</v>
      </c>
      <c r="Z9" s="56" t="n">
        <v>412</v>
      </c>
      <c r="AA9" s="56" t="n">
        <v>89233400</v>
      </c>
      <c r="AB9" s="56" t="n">
        <v>232</v>
      </c>
      <c r="AC9" s="56" t="n">
        <v>47900770</v>
      </c>
      <c r="AD9" s="56" t="n">
        <v>272</v>
      </c>
      <c r="AE9" s="56" t="n">
        <v>58793030</v>
      </c>
      <c r="AF9" s="56" t="n">
        <v>153</v>
      </c>
      <c r="AG9" s="56" t="n">
        <v>29965360</v>
      </c>
    </row>
    <row r="10" ht="18.75" customHeight="1">
      <c r="A10" s="21" t="inlineStr">
        <is>
          <t>Июль</t>
        </is>
      </c>
      <c r="B10" s="71">
        <f>D10+F10+H10+J10+L10+N10+P10+R10+T10+V10+X10+Z10+AB10+AD10+AF10</f>
        <v/>
      </c>
      <c r="C10" s="71">
        <f>E10+G10+I10+K10+M10+O10+Q10+S10+U10+W10+Y10+AA10+AC10+AE10+AG10</f>
        <v/>
      </c>
      <c r="D10" s="56">
        <f>Худудлар!AD35</f>
        <v/>
      </c>
      <c r="E10" s="56">
        <f>Худудлар!AE35</f>
        <v/>
      </c>
      <c r="F10" s="56">
        <f>Худудлар!J35</f>
        <v/>
      </c>
      <c r="G10" s="56">
        <f>Худудлар!K35</f>
        <v/>
      </c>
      <c r="H10" s="56">
        <f>Худудлар!Z35</f>
        <v/>
      </c>
      <c r="I10" s="56">
        <f>Худудлар!AA35</f>
        <v/>
      </c>
      <c r="J10" s="56">
        <f>Худудлар!N35</f>
        <v/>
      </c>
      <c r="K10" s="56">
        <f>Худудлар!O35</f>
        <v/>
      </c>
      <c r="L10" s="56">
        <f>Худудлар!F35</f>
        <v/>
      </c>
      <c r="M10" s="56">
        <f>Худудлар!G35</f>
        <v/>
      </c>
      <c r="N10" s="56">
        <f>Худудлар!R35</f>
        <v/>
      </c>
      <c r="O10" s="56">
        <f>Худудлар!S35</f>
        <v/>
      </c>
      <c r="P10" s="56">
        <f>Худудлар!AF35</f>
        <v/>
      </c>
      <c r="Q10" s="56">
        <f>Худудлар!AG35</f>
        <v/>
      </c>
      <c r="R10" s="56">
        <f>Худудлар!H35</f>
        <v/>
      </c>
      <c r="S10" s="56">
        <f>Худудлар!I35</f>
        <v/>
      </c>
      <c r="T10" s="56">
        <f>Худудлар!T35</f>
        <v/>
      </c>
      <c r="U10" s="56">
        <f>Худудлар!U35</f>
        <v/>
      </c>
      <c r="V10" s="56">
        <f>Худудлар!AB35</f>
        <v/>
      </c>
      <c r="W10" s="56">
        <f>Худудлар!AC35</f>
        <v/>
      </c>
      <c r="X10" s="56">
        <f>Худудлар!V35</f>
        <v/>
      </c>
      <c r="Y10" s="56">
        <f>Худудлар!W35</f>
        <v/>
      </c>
      <c r="Z10" s="56">
        <f>Худудлар!D35</f>
        <v/>
      </c>
      <c r="AA10" s="56">
        <f>Худудлар!E35</f>
        <v/>
      </c>
      <c r="AB10" s="56">
        <f>Худудлар!X35</f>
        <v/>
      </c>
      <c r="AC10" s="56">
        <f>Худудлар!Y35</f>
        <v/>
      </c>
      <c r="AD10" s="56">
        <f>Худудлар!L35</f>
        <v/>
      </c>
      <c r="AE10" s="56">
        <f>Худудлар!M35</f>
        <v/>
      </c>
      <c r="AF10" s="56">
        <f>Худудлар!P35</f>
        <v/>
      </c>
      <c r="AG10" s="56">
        <f>Худудлар!Q35</f>
        <v/>
      </c>
    </row>
    <row r="11" ht="18.75" customHeight="1">
      <c r="A11" s="21" t="inlineStr">
        <is>
          <t>Август</t>
        </is>
      </c>
      <c r="B11" s="18" t="n"/>
      <c r="C11" s="18" t="n"/>
      <c r="D11" s="56" t="n"/>
      <c r="E11" s="56" t="n"/>
      <c r="F11" s="56" t="n"/>
      <c r="G11" s="56" t="n"/>
      <c r="H11" s="56" t="n"/>
      <c r="I11" s="56" t="n"/>
      <c r="J11" s="56" t="n"/>
      <c r="K11" s="56" t="n"/>
      <c r="L11" s="56" t="n"/>
      <c r="M11" s="56" t="n"/>
      <c r="N11" s="56" t="n"/>
      <c r="O11" s="56" t="n"/>
      <c r="P11" s="56" t="n"/>
      <c r="Q11" s="56" t="n"/>
      <c r="R11" s="56" t="n"/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  <c r="AC11" s="56" t="n"/>
      <c r="AD11" s="56" t="n"/>
      <c r="AE11" s="56" t="n"/>
      <c r="AF11" s="56" t="n"/>
      <c r="AG11" s="56" t="n"/>
    </row>
    <row r="12" ht="18.75" customHeight="1">
      <c r="A12" s="21" t="inlineStr">
        <is>
          <t>Сентябрь</t>
        </is>
      </c>
      <c r="B12" s="18" t="n"/>
      <c r="C12" s="18" t="n"/>
      <c r="D12" s="56" t="n"/>
      <c r="E12" s="56" t="n"/>
      <c r="F12" s="56" t="n"/>
      <c r="G12" s="56" t="n"/>
      <c r="H12" s="56" t="n"/>
      <c r="I12" s="56" t="n"/>
      <c r="J12" s="56" t="n"/>
      <c r="K12" s="56" t="n"/>
      <c r="L12" s="56" t="n"/>
      <c r="M12" s="56" t="n"/>
      <c r="N12" s="56" t="n"/>
      <c r="O12" s="56" t="n"/>
      <c r="P12" s="56" t="n"/>
      <c r="Q12" s="56" t="n"/>
      <c r="R12" s="56" t="n"/>
      <c r="S12" s="56" t="n"/>
      <c r="T12" s="56" t="n"/>
      <c r="U12" s="56" t="n"/>
      <c r="V12" s="56" t="n"/>
      <c r="W12" s="56" t="n"/>
      <c r="X12" s="56" t="n"/>
      <c r="Y12" s="56" t="n"/>
      <c r="Z12" s="56" t="n"/>
      <c r="AA12" s="56" t="n"/>
      <c r="AB12" s="56" t="n"/>
      <c r="AC12" s="56" t="n"/>
      <c r="AD12" s="56" t="n"/>
      <c r="AE12" s="56" t="n"/>
      <c r="AF12" s="56" t="n"/>
      <c r="AG12" s="56" t="n"/>
    </row>
    <row r="13" ht="18.75" customHeight="1">
      <c r="A13" s="21" t="inlineStr">
        <is>
          <t>Октябрь</t>
        </is>
      </c>
      <c r="B13" s="18" t="n"/>
      <c r="C13" s="18" t="n"/>
      <c r="D13" s="56" t="n"/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  <c r="AC13" s="56" t="n"/>
      <c r="AD13" s="56" t="n"/>
      <c r="AE13" s="56" t="n"/>
      <c r="AF13" s="56" t="n"/>
      <c r="AG13" s="56" t="n"/>
    </row>
    <row r="14" ht="18.75" customHeight="1">
      <c r="A14" s="21" t="inlineStr">
        <is>
          <t>Ноябрь</t>
        </is>
      </c>
      <c r="B14" s="18" t="n"/>
      <c r="C14" s="18" t="n"/>
      <c r="D14" s="56" t="n"/>
      <c r="E14" s="56" t="n"/>
      <c r="F14" s="56" t="n"/>
      <c r="G14" s="56" t="n"/>
      <c r="H14" s="56" t="n"/>
      <c r="I14" s="56" t="n"/>
      <c r="J14" s="56" t="n"/>
      <c r="K14" s="56" t="n"/>
      <c r="L14" s="56" t="n"/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n"/>
      <c r="V14" s="56" t="n"/>
      <c r="W14" s="56" t="n"/>
      <c r="X14" s="56" t="n"/>
      <c r="Y14" s="56" t="n"/>
      <c r="Z14" s="56" t="n"/>
      <c r="AA14" s="56" t="n"/>
      <c r="AB14" s="56" t="n"/>
      <c r="AC14" s="56" t="n"/>
      <c r="AD14" s="56" t="n"/>
      <c r="AE14" s="56" t="n"/>
      <c r="AF14" s="56" t="n"/>
      <c r="AG14" s="56" t="n"/>
    </row>
    <row r="15" ht="18.75" customHeight="1">
      <c r="A15" s="21" t="inlineStr">
        <is>
          <t>Декабрь</t>
        </is>
      </c>
      <c r="B15" s="18" t="n"/>
      <c r="C15" s="18" t="n"/>
      <c r="D15" s="56" t="n"/>
      <c r="E15" s="56" t="n"/>
      <c r="F15" s="56" t="n"/>
      <c r="G15" s="56" t="n"/>
      <c r="H15" s="56" t="n"/>
      <c r="I15" s="56" t="n"/>
      <c r="J15" s="56" t="n"/>
      <c r="K15" s="56" t="n"/>
      <c r="L15" s="56" t="n"/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  <c r="AC15" s="56" t="n"/>
      <c r="AD15" s="56" t="n"/>
      <c r="AE15" s="56" t="n"/>
      <c r="AF15" s="56" t="n"/>
      <c r="AG15" s="56" t="n"/>
    </row>
    <row r="16" ht="18.75" customHeight="1">
      <c r="A16" s="57" t="inlineStr">
        <is>
          <t>Жами</t>
        </is>
      </c>
      <c r="B16" s="73">
        <f>SUM(B4:B15)</f>
        <v/>
      </c>
      <c r="C16" s="73">
        <f>SUM(C4:C15)</f>
        <v/>
      </c>
      <c r="D16" s="58">
        <f>SUM(D4:D15)</f>
        <v/>
      </c>
      <c r="E16" s="58">
        <f>SUM(E4:E15)</f>
        <v/>
      </c>
      <c r="F16" s="58">
        <f>SUM(F4:F15)</f>
        <v/>
      </c>
      <c r="G16" s="58">
        <f>SUM(G4:G15)</f>
        <v/>
      </c>
      <c r="H16" s="58">
        <f>SUM(H4:H15)</f>
        <v/>
      </c>
      <c r="I16" s="58">
        <f>SUM(I4:I15)</f>
        <v/>
      </c>
      <c r="J16" s="58">
        <f>SUM(J4:J15)</f>
        <v/>
      </c>
      <c r="K16" s="58">
        <f>SUM(K4:K15)</f>
        <v/>
      </c>
      <c r="L16" s="58">
        <f>SUM(L4:L15)</f>
        <v/>
      </c>
      <c r="M16" s="58">
        <f>SUM(M4:M15)</f>
        <v/>
      </c>
      <c r="N16" s="58">
        <f>SUM(N4:N15)</f>
        <v/>
      </c>
      <c r="O16" s="58">
        <f>SUM(O4:O15)</f>
        <v/>
      </c>
      <c r="P16" s="58">
        <f>SUM(P4:P15)</f>
        <v/>
      </c>
      <c r="Q16" s="58">
        <f>SUM(Q4:Q15)</f>
        <v/>
      </c>
      <c r="R16" s="58">
        <f>SUM(R4:R15)</f>
        <v/>
      </c>
      <c r="S16" s="58">
        <f>SUM(S4:S15)</f>
        <v/>
      </c>
      <c r="T16" s="58">
        <f>SUM(T4:T15)</f>
        <v/>
      </c>
      <c r="U16" s="58">
        <f>SUM(U4:U15)</f>
        <v/>
      </c>
      <c r="V16" s="58">
        <f>SUM(V4:V15)</f>
        <v/>
      </c>
      <c r="W16" s="58">
        <f>SUM(W4:W15)</f>
        <v/>
      </c>
      <c r="X16" s="58">
        <f>SUM(X4:X15)</f>
        <v/>
      </c>
      <c r="Y16" s="58">
        <f>SUM(Y4:Y15)</f>
        <v/>
      </c>
      <c r="Z16" s="58">
        <f>SUM(Z4:Z15)</f>
        <v/>
      </c>
      <c r="AA16" s="58">
        <f>SUM(AA4:AA15)</f>
        <v/>
      </c>
      <c r="AB16" s="58">
        <f>SUM(AB4:AB15)</f>
        <v/>
      </c>
      <c r="AC16" s="58">
        <f>SUM(AC4:AC15)</f>
        <v/>
      </c>
      <c r="AD16" s="58">
        <f>SUM(AD4:AD15)</f>
        <v/>
      </c>
      <c r="AE16" s="58">
        <f>SUM(AE4:AE15)</f>
        <v/>
      </c>
      <c r="AF16" s="58">
        <f>SUM(AF4:AF15)</f>
        <v/>
      </c>
      <c r="AG16" s="58">
        <f>SUM(AG4:AG15)</f>
        <v/>
      </c>
    </row>
  </sheetData>
  <mergeCells count="18">
    <mergeCell ref="L2:M2"/>
    <mergeCell ref="A1:AG1"/>
    <mergeCell ref="F2:G2"/>
    <mergeCell ref="B2:C2"/>
    <mergeCell ref="H2:I2"/>
    <mergeCell ref="V2:W2"/>
    <mergeCell ref="D2:E2"/>
    <mergeCell ref="Z2:AA2"/>
    <mergeCell ref="T2:U2"/>
    <mergeCell ref="X2:Y2"/>
    <mergeCell ref="AB2:AC2"/>
    <mergeCell ref="J2:K2"/>
    <mergeCell ref="N2:O2"/>
    <mergeCell ref="AD2:AE2"/>
    <mergeCell ref="R2:S2"/>
    <mergeCell ref="P2:Q2"/>
    <mergeCell ref="AF2:AG2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2026-08-13T16:20:38Z</dcterms:modified>
</cp:coreProperties>
</file>